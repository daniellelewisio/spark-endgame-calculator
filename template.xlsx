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dgame Calculator" sheetId="1" state="visible" r:id="rId3"/>
    <sheet name="Monthly Check-in" sheetId="2" state="visible" r:id="rId4"/>
    <sheet name="Quarterly Check-in" sheetId="3" state="visible" r:id="rId5"/>
  </sheets>
  <definedNames>
    <definedName function="false" hidden="false" localSheetId="0" name="_xlnm.Print_Area" vbProcedure="false">'Endgame Calculator'!$A$1:$D$45</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21" authorId="0">
      <text>
        <r>
          <rPr>
            <sz val="10"/>
            <rFont val="Arial"/>
            <family val="2"/>
          </rPr>
          <t xml:space="preserve">This pulls through from Invest each year (C16). Type a number over it to test a different amount.</t>
        </r>
      </text>
    </comment>
  </commentList>
</comments>
</file>

<file path=xl/sharedStrings.xml><?xml version="1.0" encoding="utf-8"?>
<sst xmlns="http://schemas.openxmlformats.org/spreadsheetml/2006/main" count="85" uniqueCount="81">
  <si>
    <t xml:space="preserve">SPARK Endgame Calculator</t>
  </si>
  <si>
    <t xml:space="preserve">Start with the life. Then engineer the business.</t>
  </si>
  <si>
    <t xml:space="preserve">Fill in the pink cells. Everything else works itself out. The numbers already in there are an example, so type over them.</t>
  </si>
  <si>
    <t xml:space="preserve">STEP 1 · RUN YOUR NUMBER: YOUR ENDGAME NUMBER</t>
  </si>
  <si>
    <t xml:space="preserve">What your Endgame life costs a year</t>
  </si>
  <si>
    <t xml:space="preserve">The life you want, from your Dream Life P&amp;L. Rough is fine.</t>
  </si>
  <si>
    <t xml:space="preserve">Withdrawal rate</t>
  </si>
  <si>
    <t xml:space="preserve">How much you take out each year. At 4%, your number is 25 times your life (1 ÷ 4% = 25).</t>
  </si>
  <si>
    <t xml:space="preserve">Your Endgame Number</t>
  </si>
  <si>
    <t xml:space="preserve">The invested wealth, outside your business, that makes working optional.</t>
  </si>
  <si>
    <t xml:space="preserve">STEP 2 · YOUR PATH: WHAT YOU NEED TO INVEST EACH YEAR</t>
  </si>
  <si>
    <t xml:space="preserve">Invested today, outside your business</t>
  </si>
  <si>
    <t xml:space="preserve">Shares, investment property equity, super, savings.</t>
  </si>
  <si>
    <t xml:space="preserve">Years until work is optional</t>
  </si>
  <si>
    <t xml:space="preserve">When do you want working to become a choice?</t>
  </si>
  <si>
    <t xml:space="preserve">Expected growth rate</t>
  </si>
  <si>
    <t xml:space="preserve">Be conservative. Returns aren't guaranteed and some years go backwards. Subtract inflation to keep everything in today's dollars.</t>
  </si>
  <si>
    <t xml:space="preserve">What you have today grows to</t>
  </si>
  <si>
    <t xml:space="preserve">If you didn't add another dollar.</t>
  </si>
  <si>
    <t xml:space="preserve">Where you are today</t>
  </si>
  <si>
    <t xml:space="preserve">What you have invested now, as a share of your Endgame Number.</t>
  </si>
  <si>
    <t xml:space="preserve">Invest each year</t>
  </si>
  <si>
    <t xml:space="preserve">What to put away each year, outside your business, to reach your number in time. Zero means you're already on track.</t>
  </si>
  <si>
    <t xml:space="preserve">Invest each month (approx.)</t>
  </si>
  <si>
    <t xml:space="preserve">STEP 3 · ARCHITECT THE BUSINESS: YOUR CEO NUMBERS</t>
  </si>
  <si>
    <t xml:space="preserve">What your life costs today</t>
  </si>
  <si>
    <t xml:space="preserve">Not your Endgame life, the one you're living now.</t>
  </si>
  <si>
    <t xml:space="preserve">What you'll invest each year</t>
  </si>
  <si>
    <t xml:space="preserve">Pulled from step 2. Type over it to try a different amount.</t>
  </si>
  <si>
    <t xml:space="preserve">Annual business expenses</t>
  </si>
  <si>
    <t xml:space="preserve">What it costs to run your business.</t>
  </si>
  <si>
    <t xml:space="preserve">Profit buffer</t>
  </si>
  <si>
    <t xml:space="preserve">Extra room for reinvestment, tax or safety.</t>
  </si>
  <si>
    <t xml:space="preserve">Weeks off per year</t>
  </si>
  <si>
    <t xml:space="preserve">Hours per week</t>
  </si>
  <si>
    <t xml:space="preserve">Price of your main offer</t>
  </si>
  <si>
    <t xml:space="preserve">What your business needs to pay you</t>
  </si>
  <si>
    <t xml:space="preserve">What your life costs today, plus what you invest each year. Before tax. This is your real target, not revenue.</t>
  </si>
  <si>
    <t xml:space="preserve">Revenue needed a year</t>
  </si>
  <si>
    <t xml:space="preserve">Revenue a month</t>
  </si>
  <si>
    <t xml:space="preserve">Working weeks a year</t>
  </si>
  <si>
    <t xml:space="preserve">Revenue a working week</t>
  </si>
  <si>
    <t xml:space="preserve">Your time is worth, per hour</t>
  </si>
  <si>
    <t xml:space="preserve">Sales of your main offer a year</t>
  </si>
  <si>
    <t xml:space="preserve">Sales a month</t>
  </si>
  <si>
    <t xml:space="preserve">Sales a week</t>
  </si>
  <si>
    <t xml:space="preserve">Your business is not the Endgame. It's the vehicle.</t>
  </si>
  <si>
    <t xml:space="preserve">A simple planning tool only. Not financial, tax or investment advice. Speak to a qualified accountant or financial adviser before making investment decisions.</t>
  </si>
  <si>
    <t xml:space="preserve">Want help with your numbers? My Endgame Session</t>
  </si>
  <si>
    <t xml:space="preserve">Ready to build it? Join the SPARK CEO Hub</t>
  </si>
  <si>
    <t xml:space="preserve">Now track it. Use the Monthly Check-in and Quarterly Check-in tabs as part of your CEO Rhythm.</t>
  </si>
  <si>
    <t xml:space="preserve">MONTHLY CHECK-IN · ALIGNMENT</t>
  </si>
  <si>
    <t xml:space="preserve">Your DREAM sets the destination. Your CEO Rhythm keeps you on the road.</t>
  </si>
  <si>
    <t xml:space="preserve">At your monthly CEO check-in, log what you actually invested outside your business this month. It's the simplest question in your whole plan: did I invest my number? Fill in the pink cells only.</t>
  </si>
  <si>
    <t xml:space="preserve">Your monthly investment target</t>
  </si>
  <si>
    <t xml:space="preserve">What you'll invest each year (calculator, step 3) divided by 12.</t>
  </si>
  <si>
    <t xml:space="preserve">The month you're starting</t>
  </si>
  <si>
    <t xml:space="preserve">Change this to your first month.</t>
  </si>
  <si>
    <t xml:space="preserve">Month</t>
  </si>
  <si>
    <t xml:space="preserve">Invested this month</t>
  </si>
  <si>
    <t xml:space="preserve">Target</t>
  </si>
  <si>
    <t xml:space="preserve">Difference</t>
  </si>
  <si>
    <t xml:space="preserve">Status</t>
  </si>
  <si>
    <t xml:space="preserve">Invested so far</t>
  </si>
  <si>
    <t xml:space="preserve">Need more months? Copy the last row down.</t>
  </si>
  <si>
    <t xml:space="preserve">QUARTERLY CHECK-IN · DIRECTION</t>
  </si>
  <si>
    <t xml:space="preserve">Where am I going, and am I still heading there?</t>
  </si>
  <si>
    <t xml:space="preserve">At your quarterly planning, add up everything you have invested outside your business: shares, investment property equity, super, savings. See how far you've come and whether you're ahead of your path. Then ask if your Endgame is still the one you want. You're allowed to change your mind.</t>
  </si>
  <si>
    <t xml:space="preserve">From the calculator, step 1.</t>
  </si>
  <si>
    <t xml:space="preserve">Invested when you started</t>
  </si>
  <si>
    <t xml:space="preserve">From the calculator, step 2.</t>
  </si>
  <si>
    <t xml:space="preserve">From the calculator, step 3.</t>
  </si>
  <si>
    <t xml:space="preserve">Starting quarter</t>
  </si>
  <si>
    <t xml:space="preserve">Set on the Monthly Check-in tab.</t>
  </si>
  <si>
    <t xml:space="preserve">Quarter</t>
  </si>
  <si>
    <t xml:space="preserve">Total invested now</t>
  </si>
  <si>
    <t xml:space="preserve">% of your number</t>
  </si>
  <si>
    <t xml:space="preserve">Your plan says</t>
  </si>
  <si>
    <t xml:space="preserve">Ahead / behind</t>
  </si>
  <si>
    <t xml:space="preserve">Progress to your Endgame</t>
  </si>
  <si>
    <t xml:space="preserve">Your plan says: roughly where your investments would be if you invest your yearly amount and get your expected growth rate. Not a promise. A planning tool only, not financial advice.</t>
  </si>
</sst>
</file>

<file path=xl/styles.xml><?xml version="1.0" encoding="utf-8"?>
<styleSheet xmlns="http://schemas.openxmlformats.org/spreadsheetml/2006/main">
  <numFmts count="6">
    <numFmt numFmtId="164" formatCode="General"/>
    <numFmt numFmtId="165" formatCode="\$#,##0"/>
    <numFmt numFmtId="166" formatCode="0.0%"/>
    <numFmt numFmtId="167" formatCode="#,##0"/>
    <numFmt numFmtId="168" formatCode="mmm\ yyyy"/>
    <numFmt numFmtId="169" formatCode="&quot;+$&quot;#,##0;&quot;-$&quot;#,##0;&quot;$0&quot;"/>
  </numFmts>
  <fonts count="23">
    <font>
      <sz val="11"/>
      <color theme="1"/>
      <name val="Calibri"/>
      <family val="2"/>
      <charset val="1"/>
    </font>
    <font>
      <sz val="10"/>
      <name val="Arial"/>
      <family val="0"/>
    </font>
    <font>
      <sz val="10"/>
      <name val="Arial"/>
      <family val="0"/>
    </font>
    <font>
      <sz val="10"/>
      <name val="Arial"/>
      <family val="0"/>
    </font>
    <font>
      <b val="true"/>
      <sz val="16"/>
      <color rgb="FFF4F2F0"/>
      <name val="Poppins"/>
      <family val="0"/>
      <charset val="1"/>
    </font>
    <font>
      <i val="true"/>
      <sz val="13"/>
      <color rgb="FF9A4F4F"/>
      <name val="Playfair Display"/>
      <family val="0"/>
      <charset val="1"/>
    </font>
    <font>
      <sz val="9"/>
      <color rgb="FF6B5E5E"/>
      <name val="Poppins"/>
      <family val="0"/>
      <charset val="1"/>
    </font>
    <font>
      <sz val="10"/>
      <color rgb="FF6B5E5E"/>
      <name val="Poppins"/>
      <family val="0"/>
      <charset val="1"/>
    </font>
    <font>
      <b val="true"/>
      <sz val="11"/>
      <color rgb="FFF4F2F0"/>
      <name val="Poppins"/>
      <family val="0"/>
      <charset val="1"/>
    </font>
    <font>
      <sz val="11"/>
      <color rgb="FF333031"/>
      <name val="Poppins"/>
      <family val="0"/>
      <charset val="1"/>
    </font>
    <font>
      <b val="true"/>
      <sz val="11"/>
      <color rgb="FF333031"/>
      <name val="Poppins"/>
      <family val="0"/>
      <charset val="1"/>
    </font>
    <font>
      <b val="true"/>
      <sz val="12"/>
      <color rgb="FFE2B5B0"/>
      <name val="Poppins"/>
      <family val="0"/>
      <charset val="1"/>
    </font>
    <font>
      <i val="true"/>
      <sz val="13"/>
      <color rgb="FFE2B5B0"/>
      <name val="Playfair Display"/>
      <family val="0"/>
      <charset val="1"/>
    </font>
    <font>
      <i val="true"/>
      <sz val="9"/>
      <color rgb="FF6B5E5E"/>
      <name val="Poppins"/>
      <family val="0"/>
      <charset val="1"/>
    </font>
    <font>
      <u val="single"/>
      <sz val="11"/>
      <color rgb="FF9A4F4F"/>
      <name val="Poppins"/>
      <family val="0"/>
      <charset val="1"/>
    </font>
    <font>
      <sz val="10"/>
      <name val="Arial"/>
      <family val="2"/>
    </font>
    <font>
      <b val="true"/>
      <sz val="14"/>
      <color rgb="FFF4F2F0"/>
      <name val="Poppins"/>
      <family val="0"/>
      <charset val="1"/>
    </font>
    <font>
      <i val="true"/>
      <sz val="12"/>
      <color rgb="FF9A4F4F"/>
      <name val="Playfair Display"/>
      <family val="0"/>
      <charset val="1"/>
    </font>
    <font>
      <b val="true"/>
      <sz val="11"/>
      <color rgb="FFE2B5B0"/>
      <name val="Poppins"/>
      <family val="0"/>
      <charset val="1"/>
    </font>
    <font>
      <b val="true"/>
      <sz val="10"/>
      <color rgb="FF333031"/>
      <name val="Poppins"/>
      <family val="0"/>
      <charset val="1"/>
    </font>
    <font>
      <sz val="10"/>
      <color rgb="FF333031"/>
      <name val="Poppins"/>
      <family val="0"/>
      <charset val="1"/>
    </font>
    <font>
      <sz val="10"/>
      <color rgb="FF9A4F4F"/>
      <name val="Poppins"/>
      <family val="0"/>
      <charset val="1"/>
    </font>
    <font>
      <sz val="10"/>
      <color rgb="FFC36E6E"/>
      <name val="Arial"/>
      <family val="0"/>
      <charset val="1"/>
    </font>
  </fonts>
  <fills count="5">
    <fill>
      <patternFill patternType="none"/>
    </fill>
    <fill>
      <patternFill patternType="gray125"/>
    </fill>
    <fill>
      <patternFill patternType="solid">
        <fgColor rgb="FF333031"/>
        <bgColor rgb="FF333300"/>
      </patternFill>
    </fill>
    <fill>
      <patternFill patternType="solid">
        <fgColor rgb="FFFBEDEB"/>
        <bgColor rgb="FFF4F2F0"/>
      </patternFill>
    </fill>
    <fill>
      <patternFill patternType="solid">
        <fgColor rgb="FFE7E2D8"/>
        <bgColor rgb="FFE4DED6"/>
      </patternFill>
    </fill>
  </fills>
  <borders count="5">
    <border diagonalUp="false" diagonalDown="false">
      <left/>
      <right/>
      <top/>
      <bottom/>
      <diagonal/>
    </border>
    <border diagonalUp="false" diagonalDown="false">
      <left style="thin">
        <color rgb="FFC36E6E"/>
      </left>
      <right style="thin">
        <color rgb="FFC36E6E"/>
      </right>
      <top style="thin">
        <color rgb="FFC36E6E"/>
      </top>
      <bottom style="thin">
        <color rgb="FFC36E6E"/>
      </bottom>
      <diagonal/>
    </border>
    <border diagonalUp="false" diagonalDown="false">
      <left style="thin">
        <color rgb="FFD8D1C8"/>
      </left>
      <right style="thin">
        <color rgb="FFD8D1C8"/>
      </right>
      <top style="thin">
        <color rgb="FFD8D1C8"/>
      </top>
      <bottom style="thin">
        <color rgb="FFD8D1C8"/>
      </bottom>
      <diagonal/>
    </border>
    <border diagonalUp="false" diagonalDown="false">
      <left/>
      <right/>
      <top/>
      <bottom style="thin">
        <color rgb="FF333031"/>
      </bottom>
      <diagonal/>
    </border>
    <border diagonalUp="false" diagonalDown="false">
      <left/>
      <right/>
      <top/>
      <bottom style="thin">
        <color rgb="FFE4DE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1"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false" indent="1" shrinkToFit="false"/>
      <protection locked="true" hidden="false"/>
    </xf>
    <xf numFmtId="164" fontId="9" fillId="0" borderId="0" xfId="0" applyFont="true" applyBorder="false" applyAlignment="true" applyProtection="false">
      <alignment horizontal="general" vertical="center" textRotation="0" wrapText="false" indent="1" shrinkToFit="false"/>
      <protection locked="true" hidden="false"/>
    </xf>
    <xf numFmtId="165" fontId="9" fillId="3" borderId="1" xfId="0" applyFont="true" applyBorder="true" applyAlignment="true" applyProtection="false">
      <alignment horizontal="right"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true" indent="1" shrinkToFit="false"/>
      <protection locked="true" hidden="false"/>
    </xf>
    <xf numFmtId="166" fontId="9" fillId="3" borderId="1" xfId="0" applyFont="true" applyBorder="true" applyAlignment="true" applyProtection="false">
      <alignment horizontal="right" vertical="center" textRotation="0" wrapText="false" indent="0" shrinkToFit="false"/>
      <protection locked="true" hidden="false"/>
    </xf>
    <xf numFmtId="164" fontId="10" fillId="4" borderId="0" xfId="0" applyFont="true" applyBorder="false" applyAlignment="true" applyProtection="false">
      <alignment horizontal="general" vertical="center" textRotation="0" wrapText="false" indent="1" shrinkToFit="false"/>
      <protection locked="true" hidden="false"/>
    </xf>
    <xf numFmtId="165" fontId="11" fillId="2" borderId="0" xfId="0" applyFont="true" applyBorder="false" applyAlignment="true" applyProtection="false">
      <alignment horizontal="right" vertical="center" textRotation="0" wrapText="false" indent="0" shrinkToFit="false"/>
      <protection locked="true" hidden="false"/>
    </xf>
    <xf numFmtId="167" fontId="9" fillId="3" borderId="1" xfId="0" applyFont="true" applyBorder="true" applyAlignment="true" applyProtection="false">
      <alignment horizontal="right" vertical="center" textRotation="0" wrapText="false" indent="0" shrinkToFit="false"/>
      <protection locked="true" hidden="false"/>
    </xf>
    <xf numFmtId="165" fontId="9" fillId="4" borderId="2" xfId="0" applyFont="true" applyBorder="true" applyAlignment="true" applyProtection="false">
      <alignment horizontal="right" vertical="center" textRotation="0" wrapText="false" indent="0" shrinkToFit="false"/>
      <protection locked="true" hidden="false"/>
    </xf>
    <xf numFmtId="166" fontId="9" fillId="4" borderId="2" xfId="0" applyFont="true" applyBorder="true" applyAlignment="true" applyProtection="false">
      <alignment horizontal="right" vertical="center" textRotation="0" wrapText="false" indent="0" shrinkToFit="false"/>
      <protection locked="true" hidden="false"/>
    </xf>
    <xf numFmtId="167" fontId="9" fillId="4" borderId="2" xfId="0" applyFont="true" applyBorder="true" applyAlignment="true" applyProtection="false">
      <alignment horizontal="right" vertical="center" textRotation="0" wrapText="false" indent="0" shrinkToFit="false"/>
      <protection locked="true" hidden="false"/>
    </xf>
    <xf numFmtId="164" fontId="12" fillId="2" borderId="0" xfId="0" applyFont="true" applyBorder="false" applyAlignment="true" applyProtection="false">
      <alignment horizontal="general" vertical="center" textRotation="0" wrapText="false" indent="1"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6" fillId="2" borderId="0" xfId="0" applyFont="true" applyBorder="false" applyAlignment="true" applyProtection="false">
      <alignment horizontal="general" vertical="center" textRotation="0" wrapText="false" indent="1"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center" textRotation="0" wrapText="false" indent="1" shrinkToFit="false"/>
      <protection locked="true" hidden="false"/>
    </xf>
    <xf numFmtId="165" fontId="18" fillId="2"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1" shrinkToFit="false"/>
      <protection locked="true" hidden="false"/>
    </xf>
    <xf numFmtId="168" fontId="9" fillId="3" borderId="1" xfId="0" applyFont="true" applyBorder="true" applyAlignment="true" applyProtection="false">
      <alignment horizontal="right" vertical="center" textRotation="0" wrapText="false" indent="0" shrinkToFit="false"/>
      <protection locked="true" hidden="false"/>
    </xf>
    <xf numFmtId="164" fontId="19" fillId="4" borderId="3" xfId="0" applyFont="true" applyBorder="true" applyAlignment="true" applyProtection="false">
      <alignment horizontal="left" vertical="center" textRotation="0" wrapText="true" indent="1" shrinkToFit="false"/>
      <protection locked="true" hidden="false"/>
    </xf>
    <xf numFmtId="164" fontId="19" fillId="4" borderId="3" xfId="0" applyFont="true" applyBorder="true" applyAlignment="true" applyProtection="false">
      <alignment horizontal="center" vertical="center" textRotation="0" wrapText="true" indent="0" shrinkToFit="false"/>
      <protection locked="true" hidden="false"/>
    </xf>
    <xf numFmtId="168" fontId="20" fillId="0" borderId="4" xfId="0" applyFont="true" applyBorder="true" applyAlignment="true" applyProtection="false">
      <alignment horizontal="left" vertical="center" textRotation="0" wrapText="false" indent="1" shrinkToFit="false"/>
      <protection locked="true" hidden="false"/>
    </xf>
    <xf numFmtId="165" fontId="20" fillId="3" borderId="1" xfId="0" applyFont="true" applyBorder="true" applyAlignment="true" applyProtection="false">
      <alignment horizontal="right" vertical="center" textRotation="0" wrapText="false" indent="0" shrinkToFit="false"/>
      <protection locked="true" hidden="false"/>
    </xf>
    <xf numFmtId="165" fontId="7" fillId="0" borderId="4" xfId="0" applyFont="true" applyBorder="true" applyAlignment="true" applyProtection="false">
      <alignment horizontal="right" vertical="center" textRotation="0" wrapText="false" indent="0" shrinkToFit="false"/>
      <protection locked="true" hidden="false"/>
    </xf>
    <xf numFmtId="169" fontId="20" fillId="0" borderId="4" xfId="0" applyFont="true" applyBorder="true" applyAlignment="true" applyProtection="false">
      <alignment horizontal="right" vertical="center" textRotation="0" wrapText="false" indent="0" shrinkToFit="false"/>
      <protection locked="true" hidden="false"/>
    </xf>
    <xf numFmtId="164" fontId="21" fillId="0" borderId="4" xfId="0" applyFont="true" applyBorder="true" applyAlignment="true" applyProtection="false">
      <alignment horizontal="center" vertical="center" textRotation="0" wrapText="false" indent="0" shrinkToFit="false"/>
      <protection locked="true" hidden="false"/>
    </xf>
    <xf numFmtId="165" fontId="20" fillId="0" borderId="4" xfId="0" applyFont="true" applyBorder="true" applyAlignment="true" applyProtection="false">
      <alignment horizontal="right"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8" fontId="9" fillId="4" borderId="2" xfId="0" applyFont="true" applyBorder="true" applyAlignment="true" applyProtection="false">
      <alignment horizontal="right" vertical="center" textRotation="0" wrapText="false" indent="0" shrinkToFit="false"/>
      <protection locked="true" hidden="false"/>
    </xf>
    <xf numFmtId="166" fontId="20" fillId="0" borderId="4" xfId="0" applyFont="true" applyBorder="true" applyAlignment="true" applyProtection="false">
      <alignment horizontal="right" vertical="center" textRotation="0" wrapText="false" indent="0" shrinkToFit="false"/>
      <protection locked="true" hidden="false"/>
    </xf>
    <xf numFmtId="164" fontId="22" fillId="0" borderId="4" xfId="0" applyFont="true" applyBorder="true" applyAlignment="true" applyProtection="false">
      <alignment horizontal="left" vertical="center" textRotation="0" wrapText="false" indent="0" shrinkToFit="false"/>
      <protection locked="true" hidden="false"/>
    </xf>
    <xf numFmtId="164" fontId="13"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4F2F0"/>
      <rgbColor rgb="FFFF0000"/>
      <rgbColor rgb="FF00FF00"/>
      <rgbColor rgb="FF0000FF"/>
      <rgbColor rgb="FFFFFF00"/>
      <rgbColor rgb="FFFF00FF"/>
      <rgbColor rgb="FF00FFFF"/>
      <rgbColor rgb="FF800000"/>
      <rgbColor rgb="FF008000"/>
      <rgbColor rgb="FF000080"/>
      <rgbColor rgb="FF808000"/>
      <rgbColor rgb="FF800080"/>
      <rgbColor rgb="FF008080"/>
      <rgbColor rgb="FFD8D1C8"/>
      <rgbColor rgb="FF808080"/>
      <rgbColor rgb="FF9999FF"/>
      <rgbColor rgb="FF9A4F4F"/>
      <rgbColor rgb="FFFBEDEB"/>
      <rgbColor rgb="FFCCFFFF"/>
      <rgbColor rgb="FF660066"/>
      <rgbColor rgb="FFC36E6E"/>
      <rgbColor rgb="FF0066CC"/>
      <rgbColor rgb="FFE4DED6"/>
      <rgbColor rgb="FF000080"/>
      <rgbColor rgb="FFFF00FF"/>
      <rgbColor rgb="FFFFFF00"/>
      <rgbColor rgb="FF00FFFF"/>
      <rgbColor rgb="FF800080"/>
      <rgbColor rgb="FF800000"/>
      <rgbColor rgb="FF008080"/>
      <rgbColor rgb="FF0000FF"/>
      <rgbColor rgb="FF00CCFF"/>
      <rgbColor rgb="FFCCFFFF"/>
      <rgbColor rgb="FFE7E2D8"/>
      <rgbColor rgb="FFFFFF99"/>
      <rgbColor rgb="FF99CCFF"/>
      <rgbColor rgb="FFFF99CC"/>
      <rgbColor rgb="FFCC99FF"/>
      <rgbColor rgb="FFE2B5B0"/>
      <rgbColor rgb="FF3366FF"/>
      <rgbColor rgb="FF33CCCC"/>
      <rgbColor rgb="FF99CC00"/>
      <rgbColor rgb="FFFFCC00"/>
      <rgbColor rgb="FFFF9900"/>
      <rgbColor rgb="FFFF6600"/>
      <rgbColor rgb="FF6B5E5E"/>
      <rgbColor rgb="FF969696"/>
      <rgbColor rgb="FF003366"/>
      <rgbColor rgb="FF339966"/>
      <rgbColor rgb="FF003300"/>
      <rgbColor rgb="FF333300"/>
      <rgbColor rgb="FF993300"/>
      <rgbColor rgb="FF993366"/>
      <rgbColor rgb="FF333399"/>
      <rgbColor rgb="FF33303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sparkbusiness.global/my-endgame-session" TargetMode="External"/><Relationship Id="rId3" Type="http://schemas.openxmlformats.org/officeDocument/2006/relationships/hyperlink" Target="https://sparkbusiness.global/spark-ceo-hub" TargetMode="External"/><Relationship Id="rId4"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D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8"/>
    <col collapsed="false" customWidth="true" hidden="false" outlineLevel="0" max="3" min="3" style="0" width="20"/>
    <col collapsed="false" customWidth="true" hidden="false" outlineLevel="0" max="4" min="4" style="0" width="64"/>
  </cols>
  <sheetData>
    <row r="1" customFormat="false" ht="36" hidden="false" customHeight="true" outlineLevel="0" collapsed="false">
      <c r="B1" s="1" t="s">
        <v>0</v>
      </c>
      <c r="C1" s="2"/>
      <c r="D1" s="2"/>
    </row>
    <row r="2" customFormat="false" ht="24" hidden="false" customHeight="true" outlineLevel="0" collapsed="false">
      <c r="B2" s="3" t="s">
        <v>1</v>
      </c>
      <c r="D2" s="4"/>
    </row>
    <row r="3" customFormat="false" ht="15" hidden="false" customHeight="false" outlineLevel="0" collapsed="false">
      <c r="B3" s="5" t="s">
        <v>2</v>
      </c>
      <c r="C3" s="5"/>
      <c r="D3" s="5"/>
    </row>
    <row r="5" customFormat="false" ht="25.5" hidden="false" customHeight="true" outlineLevel="0" collapsed="false">
      <c r="B5" s="6" t="s">
        <v>3</v>
      </c>
      <c r="C5" s="2"/>
      <c r="D5" s="2"/>
    </row>
    <row r="6" customFormat="false" ht="21.75" hidden="false" customHeight="true" outlineLevel="0" collapsed="false">
      <c r="B6" s="7" t="s">
        <v>4</v>
      </c>
      <c r="C6" s="8" t="n">
        <v>150000</v>
      </c>
      <c r="D6" s="9" t="s">
        <v>5</v>
      </c>
    </row>
    <row r="7" customFormat="false" ht="30" hidden="false" customHeight="true" outlineLevel="0" collapsed="false">
      <c r="B7" s="7" t="s">
        <v>6</v>
      </c>
      <c r="C7" s="10" t="n">
        <v>0.04</v>
      </c>
      <c r="D7" s="9" t="s">
        <v>7</v>
      </c>
    </row>
    <row r="8" customFormat="false" ht="30" hidden="false" customHeight="true" outlineLevel="0" collapsed="false">
      <c r="B8" s="11" t="s">
        <v>8</v>
      </c>
      <c r="C8" s="12" t="n">
        <f aca="false">IFERROR(C6/C7,0)</f>
        <v>3750000</v>
      </c>
      <c r="D8" s="9" t="s">
        <v>9</v>
      </c>
    </row>
    <row r="10" customFormat="false" ht="25.5" hidden="false" customHeight="true" outlineLevel="0" collapsed="false">
      <c r="B10" s="6" t="s">
        <v>10</v>
      </c>
      <c r="C10" s="2"/>
      <c r="D10" s="2"/>
    </row>
    <row r="11" customFormat="false" ht="21.75" hidden="false" customHeight="true" outlineLevel="0" collapsed="false">
      <c r="B11" s="7" t="s">
        <v>11</v>
      </c>
      <c r="C11" s="8" t="n">
        <v>100000</v>
      </c>
      <c r="D11" s="9" t="s">
        <v>12</v>
      </c>
    </row>
    <row r="12" customFormat="false" ht="21.75" hidden="false" customHeight="true" outlineLevel="0" collapsed="false">
      <c r="B12" s="7" t="s">
        <v>13</v>
      </c>
      <c r="C12" s="13" t="n">
        <v>15</v>
      </c>
      <c r="D12" s="9" t="s">
        <v>14</v>
      </c>
    </row>
    <row r="13" customFormat="false" ht="30" hidden="false" customHeight="true" outlineLevel="0" collapsed="false">
      <c r="B13" s="7" t="s">
        <v>15</v>
      </c>
      <c r="C13" s="10" t="n">
        <v>0.08</v>
      </c>
      <c r="D13" s="9" t="s">
        <v>16</v>
      </c>
    </row>
    <row r="14" customFormat="false" ht="21.75" hidden="false" customHeight="true" outlineLevel="0" collapsed="false">
      <c r="B14" s="7" t="s">
        <v>17</v>
      </c>
      <c r="C14" s="14" t="n">
        <f aca="false">C11*(1+C13)^C12</f>
        <v>317216.911419827</v>
      </c>
      <c r="D14" s="9" t="s">
        <v>18</v>
      </c>
    </row>
    <row r="15" customFormat="false" ht="21.75" hidden="false" customHeight="true" outlineLevel="0" collapsed="false">
      <c r="B15" s="7" t="s">
        <v>19</v>
      </c>
      <c r="C15" s="15" t="n">
        <f aca="false">IFERROR(C11/C8,0)</f>
        <v>0.0266666666666667</v>
      </c>
      <c r="D15" s="9" t="s">
        <v>20</v>
      </c>
    </row>
    <row r="16" customFormat="false" ht="30" hidden="false" customHeight="true" outlineLevel="0" collapsed="false">
      <c r="B16" s="11" t="s">
        <v>21</v>
      </c>
      <c r="C16" s="12" t="n">
        <f aca="false">IFERROR(IF(C8-C14&lt;=0,0,IF(C13&gt;0,(C8-C14)*C13/((1+C13)^C12-1),(C8-C14)/C12)),0)</f>
        <v>126427.839016473</v>
      </c>
      <c r="D16" s="9" t="s">
        <v>22</v>
      </c>
    </row>
    <row r="17" customFormat="false" ht="21.75" hidden="false" customHeight="true" outlineLevel="0" collapsed="false">
      <c r="B17" s="7" t="s">
        <v>23</v>
      </c>
      <c r="C17" s="14" t="n">
        <f aca="false">C16/12</f>
        <v>10535.6532513727</v>
      </c>
    </row>
    <row r="19" customFormat="false" ht="25.5" hidden="false" customHeight="true" outlineLevel="0" collapsed="false">
      <c r="B19" s="6" t="s">
        <v>24</v>
      </c>
      <c r="C19" s="2"/>
      <c r="D19" s="2"/>
    </row>
    <row r="20" customFormat="false" ht="21.75" hidden="false" customHeight="true" outlineLevel="0" collapsed="false">
      <c r="B20" s="7" t="s">
        <v>25</v>
      </c>
      <c r="C20" s="8" t="n">
        <v>100000</v>
      </c>
      <c r="D20" s="9" t="s">
        <v>26</v>
      </c>
    </row>
    <row r="21" customFormat="false" ht="21.75" hidden="false" customHeight="true" outlineLevel="0" collapsed="false">
      <c r="B21" s="7" t="s">
        <v>27</v>
      </c>
      <c r="C21" s="8" t="n">
        <f aca="false">C16</f>
        <v>126427.839016473</v>
      </c>
      <c r="D21" s="9" t="s">
        <v>28</v>
      </c>
    </row>
    <row r="22" customFormat="false" ht="21.75" hidden="false" customHeight="true" outlineLevel="0" collapsed="false">
      <c r="B22" s="7" t="s">
        <v>29</v>
      </c>
      <c r="C22" s="8" t="n">
        <v>150000</v>
      </c>
      <c r="D22" s="9" t="s">
        <v>30</v>
      </c>
    </row>
    <row r="23" customFormat="false" ht="21.75" hidden="false" customHeight="true" outlineLevel="0" collapsed="false">
      <c r="B23" s="7" t="s">
        <v>31</v>
      </c>
      <c r="C23" s="10" t="n">
        <v>0.2</v>
      </c>
      <c r="D23" s="9" t="s">
        <v>32</v>
      </c>
    </row>
    <row r="24" customFormat="false" ht="21.75" hidden="false" customHeight="true" outlineLevel="0" collapsed="false">
      <c r="B24" s="7" t="s">
        <v>33</v>
      </c>
      <c r="C24" s="13" t="n">
        <v>8</v>
      </c>
    </row>
    <row r="25" customFormat="false" ht="21.75" hidden="false" customHeight="true" outlineLevel="0" collapsed="false">
      <c r="B25" s="7" t="s">
        <v>34</v>
      </c>
      <c r="C25" s="13" t="n">
        <v>25</v>
      </c>
    </row>
    <row r="26" customFormat="false" ht="21.75" hidden="false" customHeight="true" outlineLevel="0" collapsed="false">
      <c r="B26" s="7" t="s">
        <v>35</v>
      </c>
      <c r="C26" s="8" t="n">
        <v>999</v>
      </c>
    </row>
    <row r="28" customFormat="false" ht="30" hidden="false" customHeight="true" outlineLevel="0" collapsed="false">
      <c r="B28" s="11" t="s">
        <v>36</v>
      </c>
      <c r="C28" s="12" t="n">
        <f aca="false">C20+C21</f>
        <v>226427.839016473</v>
      </c>
      <c r="D28" s="9" t="s">
        <v>37</v>
      </c>
    </row>
    <row r="29" customFormat="false" ht="21.75" hidden="false" customHeight="true" outlineLevel="0" collapsed="false">
      <c r="B29" s="7" t="s">
        <v>38</v>
      </c>
      <c r="C29" s="14" t="n">
        <f aca="false">IFERROR((C28+C22)/(1-C23),0)</f>
        <v>470534.798770591</v>
      </c>
    </row>
    <row r="30" customFormat="false" ht="21.75" hidden="false" customHeight="true" outlineLevel="0" collapsed="false">
      <c r="B30" s="7" t="s">
        <v>39</v>
      </c>
      <c r="C30" s="14" t="n">
        <f aca="false">C29/12</f>
        <v>39211.2332308826</v>
      </c>
    </row>
    <row r="31" customFormat="false" ht="21.75" hidden="false" customHeight="true" outlineLevel="0" collapsed="false">
      <c r="B31" s="7" t="s">
        <v>40</v>
      </c>
      <c r="C31" s="16" t="n">
        <f aca="false">52-C24</f>
        <v>44</v>
      </c>
    </row>
    <row r="32" customFormat="false" ht="21.75" hidden="false" customHeight="true" outlineLevel="0" collapsed="false">
      <c r="B32" s="7" t="s">
        <v>41</v>
      </c>
      <c r="C32" s="14" t="n">
        <f aca="false">IFERROR(C29/C31,0)</f>
        <v>10693.9726993316</v>
      </c>
    </row>
    <row r="33" customFormat="false" ht="21.75" hidden="false" customHeight="true" outlineLevel="0" collapsed="false">
      <c r="B33" s="7" t="s">
        <v>42</v>
      </c>
      <c r="C33" s="14" t="n">
        <f aca="false">IFERROR(C32/C25,0)</f>
        <v>427.758907973265</v>
      </c>
    </row>
    <row r="34" customFormat="false" ht="21.75" hidden="false" customHeight="true" outlineLevel="0" collapsed="false">
      <c r="B34" s="7" t="s">
        <v>43</v>
      </c>
      <c r="C34" s="16" t="n">
        <f aca="false">IFERROR(C29/C26,0)</f>
        <v>471.005804575166</v>
      </c>
    </row>
    <row r="35" customFormat="false" ht="21.75" hidden="false" customHeight="true" outlineLevel="0" collapsed="false">
      <c r="B35" s="7" t="s">
        <v>44</v>
      </c>
      <c r="C35" s="16" t="n">
        <f aca="false">C34/12</f>
        <v>39.2504837145972</v>
      </c>
    </row>
    <row r="36" customFormat="false" ht="21.75" hidden="false" customHeight="true" outlineLevel="0" collapsed="false">
      <c r="B36" s="7" t="s">
        <v>45</v>
      </c>
      <c r="C36" s="16" t="n">
        <f aca="false">IFERROR(C34/C31,0)</f>
        <v>10.7046773767083</v>
      </c>
    </row>
    <row r="38" customFormat="false" ht="30" hidden="false" customHeight="true" outlineLevel="0" collapsed="false">
      <c r="B38" s="17" t="s">
        <v>46</v>
      </c>
      <c r="C38" s="2"/>
      <c r="D38" s="2"/>
    </row>
    <row r="40" customFormat="false" ht="27.75" hidden="false" customHeight="true" outlineLevel="0" collapsed="false">
      <c r="B40" s="18" t="s">
        <v>47</v>
      </c>
      <c r="C40" s="18"/>
      <c r="D40" s="18"/>
    </row>
    <row r="42" customFormat="false" ht="17.15" hidden="false" customHeight="false" outlineLevel="0" collapsed="false">
      <c r="B42" s="19" t="s">
        <v>48</v>
      </c>
    </row>
    <row r="43" customFormat="false" ht="17.15" hidden="false" customHeight="false" outlineLevel="0" collapsed="false">
      <c r="B43" s="19" t="s">
        <v>49</v>
      </c>
    </row>
    <row r="45" customFormat="false" ht="15" hidden="false" customHeight="false" outlineLevel="0" collapsed="false">
      <c r="B45" s="20" t="s">
        <v>50</v>
      </c>
      <c r="C45" s="20"/>
      <c r="D45" s="20"/>
    </row>
  </sheetData>
  <mergeCells count="3">
    <mergeCell ref="B3:D3"/>
    <mergeCell ref="B40:D40"/>
    <mergeCell ref="B45:D45"/>
  </mergeCells>
  <hyperlinks>
    <hyperlink ref="B42" r:id="rId2" display="Want help with your numbers? My Endgame Session"/>
    <hyperlink ref="B43" r:id="rId3" display="Ready to build it? Join the SPARK CEO Hub"/>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G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6"/>
    <col collapsed="false" customWidth="true" hidden="false" outlineLevel="0" max="3" min="3" style="0" width="20"/>
    <col collapsed="false" customWidth="true" hidden="false" outlineLevel="0" max="5" min="4" style="0" width="18"/>
    <col collapsed="false" customWidth="true" hidden="false" outlineLevel="0" max="6" min="6" style="0" width="24"/>
    <col collapsed="false" customWidth="true" hidden="false" outlineLevel="0" max="7" min="7" style="0" width="20"/>
  </cols>
  <sheetData>
    <row r="1" customFormat="false" ht="33.75" hidden="false" customHeight="true" outlineLevel="0" collapsed="false">
      <c r="B1" s="21" t="s">
        <v>51</v>
      </c>
      <c r="C1" s="2"/>
      <c r="D1" s="2"/>
      <c r="E1" s="2"/>
      <c r="F1" s="2"/>
      <c r="G1" s="2"/>
    </row>
    <row r="2" customFormat="false" ht="24" hidden="false" customHeight="true" outlineLevel="0" collapsed="false">
      <c r="B2" s="22" t="s">
        <v>52</v>
      </c>
    </row>
    <row r="3" customFormat="false" ht="43.5" hidden="false" customHeight="true" outlineLevel="0" collapsed="false">
      <c r="B3" s="23" t="s">
        <v>53</v>
      </c>
      <c r="C3" s="23"/>
      <c r="D3" s="23"/>
      <c r="E3" s="23"/>
      <c r="F3" s="23"/>
      <c r="G3" s="23"/>
    </row>
    <row r="5" customFormat="false" ht="21.75" hidden="false" customHeight="true" outlineLevel="0" collapsed="false">
      <c r="B5" s="24" t="s">
        <v>54</v>
      </c>
      <c r="C5" s="24"/>
      <c r="D5" s="25" t="n">
        <f aca="false">'Endgame Calculator'!C21/12</f>
        <v>10535.6532513727</v>
      </c>
      <c r="E5" s="26" t="s">
        <v>55</v>
      </c>
    </row>
    <row r="6" customFormat="false" ht="21.75" hidden="false" customHeight="true" outlineLevel="0" collapsed="false">
      <c r="B6" s="24" t="s">
        <v>56</v>
      </c>
      <c r="C6" s="24"/>
      <c r="D6" s="27" t="n">
        <v>46296</v>
      </c>
      <c r="E6" s="26" t="s">
        <v>57</v>
      </c>
    </row>
    <row r="8" customFormat="false" ht="30" hidden="false" customHeight="true" outlineLevel="0" collapsed="false">
      <c r="B8" s="28" t="s">
        <v>58</v>
      </c>
      <c r="C8" s="29" t="s">
        <v>59</v>
      </c>
      <c r="D8" s="29" t="s">
        <v>60</v>
      </c>
      <c r="E8" s="29" t="s">
        <v>61</v>
      </c>
      <c r="F8" s="29" t="s">
        <v>62</v>
      </c>
      <c r="G8" s="29" t="s">
        <v>63</v>
      </c>
    </row>
    <row r="9" customFormat="false" ht="19.5" hidden="false" customHeight="true" outlineLevel="0" collapsed="false">
      <c r="B9" s="30" t="n">
        <f aca="false">D6</f>
        <v>46296</v>
      </c>
      <c r="C9" s="31"/>
      <c r="D9" s="32" t="n">
        <f aca="false">$D$5</f>
        <v>10535.6532513727</v>
      </c>
      <c r="E9" s="33" t="str">
        <f aca="false">IF(C9="","",C9-D9)</f>
        <v/>
      </c>
      <c r="F9" s="34" t="str">
        <f aca="false">IF(C9="","",IF(C9&gt;=D9,"On track","Catch up next month"))</f>
        <v/>
      </c>
      <c r="G9" s="35" t="str">
        <f aca="false">IF(C9="","",SUM($C$9:C9))</f>
        <v/>
      </c>
    </row>
    <row r="10" customFormat="false" ht="19.5" hidden="false" customHeight="true" outlineLevel="0" collapsed="false">
      <c r="B10" s="30" t="n">
        <f aca="false">EDATE(B9,1)</f>
        <v>46327</v>
      </c>
      <c r="C10" s="31"/>
      <c r="D10" s="32" t="n">
        <f aca="false">$D$5</f>
        <v>10535.6532513727</v>
      </c>
      <c r="E10" s="33" t="str">
        <f aca="false">IF(C10="","",C10-D10)</f>
        <v/>
      </c>
      <c r="F10" s="34" t="str">
        <f aca="false">IF(C10="","",IF(C10&gt;=D10,"On track","Catch up next month"))</f>
        <v/>
      </c>
      <c r="G10" s="35" t="str">
        <f aca="false">IF(C10="","",SUM($C$9:C10))</f>
        <v/>
      </c>
    </row>
    <row r="11" customFormat="false" ht="19.5" hidden="false" customHeight="true" outlineLevel="0" collapsed="false">
      <c r="B11" s="30" t="n">
        <f aca="false">EDATE(B10,1)</f>
        <v>46357</v>
      </c>
      <c r="C11" s="31"/>
      <c r="D11" s="32" t="n">
        <f aca="false">$D$5</f>
        <v>10535.6532513727</v>
      </c>
      <c r="E11" s="33" t="str">
        <f aca="false">IF(C11="","",C11-D11)</f>
        <v/>
      </c>
      <c r="F11" s="34" t="str">
        <f aca="false">IF(C11="","",IF(C11&gt;=D11,"On track","Catch up next month"))</f>
        <v/>
      </c>
      <c r="G11" s="35" t="str">
        <f aca="false">IF(C11="","",SUM($C$9:C11))</f>
        <v/>
      </c>
    </row>
    <row r="12" customFormat="false" ht="19.5" hidden="false" customHeight="true" outlineLevel="0" collapsed="false">
      <c r="B12" s="30" t="n">
        <f aca="false">EDATE(B11,1)</f>
        <v>46388</v>
      </c>
      <c r="C12" s="31"/>
      <c r="D12" s="32" t="n">
        <f aca="false">$D$5</f>
        <v>10535.6532513727</v>
      </c>
      <c r="E12" s="33" t="str">
        <f aca="false">IF(C12="","",C12-D12)</f>
        <v/>
      </c>
      <c r="F12" s="34" t="str">
        <f aca="false">IF(C12="","",IF(C12&gt;=D12,"On track","Catch up next month"))</f>
        <v/>
      </c>
      <c r="G12" s="35" t="str">
        <f aca="false">IF(C12="","",SUM($C$9:C12))</f>
        <v/>
      </c>
    </row>
    <row r="13" customFormat="false" ht="19.5" hidden="false" customHeight="true" outlineLevel="0" collapsed="false">
      <c r="B13" s="30" t="n">
        <f aca="false">EDATE(B12,1)</f>
        <v>46419</v>
      </c>
      <c r="C13" s="31"/>
      <c r="D13" s="32" t="n">
        <f aca="false">$D$5</f>
        <v>10535.6532513727</v>
      </c>
      <c r="E13" s="33" t="str">
        <f aca="false">IF(C13="","",C13-D13)</f>
        <v/>
      </c>
      <c r="F13" s="34" t="str">
        <f aca="false">IF(C13="","",IF(C13&gt;=D13,"On track","Catch up next month"))</f>
        <v/>
      </c>
      <c r="G13" s="35" t="str">
        <f aca="false">IF(C13="","",SUM($C$9:C13))</f>
        <v/>
      </c>
    </row>
    <row r="14" customFormat="false" ht="19.5" hidden="false" customHeight="true" outlineLevel="0" collapsed="false">
      <c r="B14" s="30" t="n">
        <f aca="false">EDATE(B13,1)</f>
        <v>46447</v>
      </c>
      <c r="C14" s="31"/>
      <c r="D14" s="32" t="n">
        <f aca="false">$D$5</f>
        <v>10535.6532513727</v>
      </c>
      <c r="E14" s="33" t="str">
        <f aca="false">IF(C14="","",C14-D14)</f>
        <v/>
      </c>
      <c r="F14" s="34" t="str">
        <f aca="false">IF(C14="","",IF(C14&gt;=D14,"On track","Catch up next month"))</f>
        <v/>
      </c>
      <c r="G14" s="35" t="str">
        <f aca="false">IF(C14="","",SUM($C$9:C14))</f>
        <v/>
      </c>
    </row>
    <row r="15" customFormat="false" ht="19.5" hidden="false" customHeight="true" outlineLevel="0" collapsed="false">
      <c r="B15" s="30" t="n">
        <f aca="false">EDATE(B14,1)</f>
        <v>46478</v>
      </c>
      <c r="C15" s="31"/>
      <c r="D15" s="32" t="n">
        <f aca="false">$D$5</f>
        <v>10535.6532513727</v>
      </c>
      <c r="E15" s="33" t="str">
        <f aca="false">IF(C15="","",C15-D15)</f>
        <v/>
      </c>
      <c r="F15" s="34" t="str">
        <f aca="false">IF(C15="","",IF(C15&gt;=D15,"On track","Catch up next month"))</f>
        <v/>
      </c>
      <c r="G15" s="35" t="str">
        <f aca="false">IF(C15="","",SUM($C$9:C15))</f>
        <v/>
      </c>
    </row>
    <row r="16" customFormat="false" ht="19.5" hidden="false" customHeight="true" outlineLevel="0" collapsed="false">
      <c r="B16" s="30" t="n">
        <f aca="false">EDATE(B15,1)</f>
        <v>46508</v>
      </c>
      <c r="C16" s="31"/>
      <c r="D16" s="32" t="n">
        <f aca="false">$D$5</f>
        <v>10535.6532513727</v>
      </c>
      <c r="E16" s="33" t="str">
        <f aca="false">IF(C16="","",C16-D16)</f>
        <v/>
      </c>
      <c r="F16" s="34" t="str">
        <f aca="false">IF(C16="","",IF(C16&gt;=D16,"On track","Catch up next month"))</f>
        <v/>
      </c>
      <c r="G16" s="35" t="str">
        <f aca="false">IF(C16="","",SUM($C$9:C16))</f>
        <v/>
      </c>
    </row>
    <row r="17" customFormat="false" ht="19.5" hidden="false" customHeight="true" outlineLevel="0" collapsed="false">
      <c r="B17" s="30" t="n">
        <f aca="false">EDATE(B16,1)</f>
        <v>46539</v>
      </c>
      <c r="C17" s="31"/>
      <c r="D17" s="32" t="n">
        <f aca="false">$D$5</f>
        <v>10535.6532513727</v>
      </c>
      <c r="E17" s="33" t="str">
        <f aca="false">IF(C17="","",C17-D17)</f>
        <v/>
      </c>
      <c r="F17" s="34" t="str">
        <f aca="false">IF(C17="","",IF(C17&gt;=D17,"On track","Catch up next month"))</f>
        <v/>
      </c>
      <c r="G17" s="35" t="str">
        <f aca="false">IF(C17="","",SUM($C$9:C17))</f>
        <v/>
      </c>
    </row>
    <row r="18" customFormat="false" ht="19.5" hidden="false" customHeight="true" outlineLevel="0" collapsed="false">
      <c r="B18" s="30" t="n">
        <f aca="false">EDATE(B17,1)</f>
        <v>46569</v>
      </c>
      <c r="C18" s="31"/>
      <c r="D18" s="32" t="n">
        <f aca="false">$D$5</f>
        <v>10535.6532513727</v>
      </c>
      <c r="E18" s="33" t="str">
        <f aca="false">IF(C18="","",C18-D18)</f>
        <v/>
      </c>
      <c r="F18" s="34" t="str">
        <f aca="false">IF(C18="","",IF(C18&gt;=D18,"On track","Catch up next month"))</f>
        <v/>
      </c>
      <c r="G18" s="35" t="str">
        <f aca="false">IF(C18="","",SUM($C$9:C18))</f>
        <v/>
      </c>
    </row>
    <row r="19" customFormat="false" ht="19.5" hidden="false" customHeight="true" outlineLevel="0" collapsed="false">
      <c r="B19" s="30" t="n">
        <f aca="false">EDATE(B18,1)</f>
        <v>46600</v>
      </c>
      <c r="C19" s="31"/>
      <c r="D19" s="32" t="n">
        <f aca="false">$D$5</f>
        <v>10535.6532513727</v>
      </c>
      <c r="E19" s="33" t="str">
        <f aca="false">IF(C19="","",C19-D19)</f>
        <v/>
      </c>
      <c r="F19" s="34" t="str">
        <f aca="false">IF(C19="","",IF(C19&gt;=D19,"On track","Catch up next month"))</f>
        <v/>
      </c>
      <c r="G19" s="35" t="str">
        <f aca="false">IF(C19="","",SUM($C$9:C19))</f>
        <v/>
      </c>
    </row>
    <row r="20" customFormat="false" ht="19.5" hidden="false" customHeight="true" outlineLevel="0" collapsed="false">
      <c r="B20" s="30" t="n">
        <f aca="false">EDATE(B19,1)</f>
        <v>46631</v>
      </c>
      <c r="C20" s="31"/>
      <c r="D20" s="32" t="n">
        <f aca="false">$D$5</f>
        <v>10535.6532513727</v>
      </c>
      <c r="E20" s="33" t="str">
        <f aca="false">IF(C20="","",C20-D20)</f>
        <v/>
      </c>
      <c r="F20" s="34" t="str">
        <f aca="false">IF(C20="","",IF(C20&gt;=D20,"On track","Catch up next month"))</f>
        <v/>
      </c>
      <c r="G20" s="35" t="str">
        <f aca="false">IF(C20="","",SUM($C$9:C20))</f>
        <v/>
      </c>
    </row>
    <row r="21" customFormat="false" ht="19.5" hidden="false" customHeight="true" outlineLevel="0" collapsed="false">
      <c r="B21" s="30" t="n">
        <f aca="false">EDATE(B20,1)</f>
        <v>46661</v>
      </c>
      <c r="C21" s="31"/>
      <c r="D21" s="32" t="n">
        <f aca="false">$D$5</f>
        <v>10535.6532513727</v>
      </c>
      <c r="E21" s="33" t="str">
        <f aca="false">IF(C21="","",C21-D21)</f>
        <v/>
      </c>
      <c r="F21" s="34" t="str">
        <f aca="false">IF(C21="","",IF(C21&gt;=D21,"On track","Catch up next month"))</f>
        <v/>
      </c>
      <c r="G21" s="35" t="str">
        <f aca="false">IF(C21="","",SUM($C$9:C21))</f>
        <v/>
      </c>
    </row>
    <row r="22" customFormat="false" ht="19.5" hidden="false" customHeight="true" outlineLevel="0" collapsed="false">
      <c r="B22" s="30" t="n">
        <f aca="false">EDATE(B21,1)</f>
        <v>46692</v>
      </c>
      <c r="C22" s="31"/>
      <c r="D22" s="32" t="n">
        <f aca="false">$D$5</f>
        <v>10535.6532513727</v>
      </c>
      <c r="E22" s="33" t="str">
        <f aca="false">IF(C22="","",C22-D22)</f>
        <v/>
      </c>
      <c r="F22" s="34" t="str">
        <f aca="false">IF(C22="","",IF(C22&gt;=D22,"On track","Catch up next month"))</f>
        <v/>
      </c>
      <c r="G22" s="35" t="str">
        <f aca="false">IF(C22="","",SUM($C$9:C22))</f>
        <v/>
      </c>
    </row>
    <row r="23" customFormat="false" ht="19.5" hidden="false" customHeight="true" outlineLevel="0" collapsed="false">
      <c r="B23" s="30" t="n">
        <f aca="false">EDATE(B22,1)</f>
        <v>46722</v>
      </c>
      <c r="C23" s="31"/>
      <c r="D23" s="32" t="n">
        <f aca="false">$D$5</f>
        <v>10535.6532513727</v>
      </c>
      <c r="E23" s="33" t="str">
        <f aca="false">IF(C23="","",C23-D23)</f>
        <v/>
      </c>
      <c r="F23" s="34" t="str">
        <f aca="false">IF(C23="","",IF(C23&gt;=D23,"On track","Catch up next month"))</f>
        <v/>
      </c>
      <c r="G23" s="35" t="str">
        <f aca="false">IF(C23="","",SUM($C$9:C23))</f>
        <v/>
      </c>
    </row>
    <row r="24" customFormat="false" ht="19.5" hidden="false" customHeight="true" outlineLevel="0" collapsed="false">
      <c r="B24" s="30" t="n">
        <f aca="false">EDATE(B23,1)</f>
        <v>46753</v>
      </c>
      <c r="C24" s="31"/>
      <c r="D24" s="32" t="n">
        <f aca="false">$D$5</f>
        <v>10535.6532513727</v>
      </c>
      <c r="E24" s="33" t="str">
        <f aca="false">IF(C24="","",C24-D24)</f>
        <v/>
      </c>
      <c r="F24" s="34" t="str">
        <f aca="false">IF(C24="","",IF(C24&gt;=D24,"On track","Catch up next month"))</f>
        <v/>
      </c>
      <c r="G24" s="35" t="str">
        <f aca="false">IF(C24="","",SUM($C$9:C24))</f>
        <v/>
      </c>
    </row>
    <row r="25" customFormat="false" ht="19.5" hidden="false" customHeight="true" outlineLevel="0" collapsed="false">
      <c r="B25" s="30" t="n">
        <f aca="false">EDATE(B24,1)</f>
        <v>46784</v>
      </c>
      <c r="C25" s="31"/>
      <c r="D25" s="32" t="n">
        <f aca="false">$D$5</f>
        <v>10535.6532513727</v>
      </c>
      <c r="E25" s="33" t="str">
        <f aca="false">IF(C25="","",C25-D25)</f>
        <v/>
      </c>
      <c r="F25" s="34" t="str">
        <f aca="false">IF(C25="","",IF(C25&gt;=D25,"On track","Catch up next month"))</f>
        <v/>
      </c>
      <c r="G25" s="35" t="str">
        <f aca="false">IF(C25="","",SUM($C$9:C25))</f>
        <v/>
      </c>
    </row>
    <row r="26" customFormat="false" ht="19.5" hidden="false" customHeight="true" outlineLevel="0" collapsed="false">
      <c r="B26" s="30" t="n">
        <f aca="false">EDATE(B25,1)</f>
        <v>46813</v>
      </c>
      <c r="C26" s="31"/>
      <c r="D26" s="32" t="n">
        <f aca="false">$D$5</f>
        <v>10535.6532513727</v>
      </c>
      <c r="E26" s="33" t="str">
        <f aca="false">IF(C26="","",C26-D26)</f>
        <v/>
      </c>
      <c r="F26" s="34" t="str">
        <f aca="false">IF(C26="","",IF(C26&gt;=D26,"On track","Catch up next month"))</f>
        <v/>
      </c>
      <c r="G26" s="35" t="str">
        <f aca="false">IF(C26="","",SUM($C$9:C26))</f>
        <v/>
      </c>
    </row>
    <row r="27" customFormat="false" ht="19.5" hidden="false" customHeight="true" outlineLevel="0" collapsed="false">
      <c r="B27" s="30" t="n">
        <f aca="false">EDATE(B26,1)</f>
        <v>46844</v>
      </c>
      <c r="C27" s="31"/>
      <c r="D27" s="32" t="n">
        <f aca="false">$D$5</f>
        <v>10535.6532513727</v>
      </c>
      <c r="E27" s="33" t="str">
        <f aca="false">IF(C27="","",C27-D27)</f>
        <v/>
      </c>
      <c r="F27" s="34" t="str">
        <f aca="false">IF(C27="","",IF(C27&gt;=D27,"On track","Catch up next month"))</f>
        <v/>
      </c>
      <c r="G27" s="35" t="str">
        <f aca="false">IF(C27="","",SUM($C$9:C27))</f>
        <v/>
      </c>
    </row>
    <row r="28" customFormat="false" ht="19.5" hidden="false" customHeight="true" outlineLevel="0" collapsed="false">
      <c r="B28" s="30" t="n">
        <f aca="false">EDATE(B27,1)</f>
        <v>46874</v>
      </c>
      <c r="C28" s="31"/>
      <c r="D28" s="32" t="n">
        <f aca="false">$D$5</f>
        <v>10535.6532513727</v>
      </c>
      <c r="E28" s="33" t="str">
        <f aca="false">IF(C28="","",C28-D28)</f>
        <v/>
      </c>
      <c r="F28" s="34" t="str">
        <f aca="false">IF(C28="","",IF(C28&gt;=D28,"On track","Catch up next month"))</f>
        <v/>
      </c>
      <c r="G28" s="35" t="str">
        <f aca="false">IF(C28="","",SUM($C$9:C28))</f>
        <v/>
      </c>
    </row>
    <row r="29" customFormat="false" ht="19.5" hidden="false" customHeight="true" outlineLevel="0" collapsed="false">
      <c r="B29" s="30" t="n">
        <f aca="false">EDATE(B28,1)</f>
        <v>46905</v>
      </c>
      <c r="C29" s="31"/>
      <c r="D29" s="32" t="n">
        <f aca="false">$D$5</f>
        <v>10535.6532513727</v>
      </c>
      <c r="E29" s="33" t="str">
        <f aca="false">IF(C29="","",C29-D29)</f>
        <v/>
      </c>
      <c r="F29" s="34" t="str">
        <f aca="false">IF(C29="","",IF(C29&gt;=D29,"On track","Catch up next month"))</f>
        <v/>
      </c>
      <c r="G29" s="35" t="str">
        <f aca="false">IF(C29="","",SUM($C$9:C29))</f>
        <v/>
      </c>
    </row>
    <row r="30" customFormat="false" ht="19.5" hidden="false" customHeight="true" outlineLevel="0" collapsed="false">
      <c r="B30" s="30" t="n">
        <f aca="false">EDATE(B29,1)</f>
        <v>46935</v>
      </c>
      <c r="C30" s="31"/>
      <c r="D30" s="32" t="n">
        <f aca="false">$D$5</f>
        <v>10535.6532513727</v>
      </c>
      <c r="E30" s="33" t="str">
        <f aca="false">IF(C30="","",C30-D30)</f>
        <v/>
      </c>
      <c r="F30" s="34" t="str">
        <f aca="false">IF(C30="","",IF(C30&gt;=D30,"On track","Catch up next month"))</f>
        <v/>
      </c>
      <c r="G30" s="35" t="str">
        <f aca="false">IF(C30="","",SUM($C$9:C30))</f>
        <v/>
      </c>
    </row>
    <row r="31" customFormat="false" ht="19.5" hidden="false" customHeight="true" outlineLevel="0" collapsed="false">
      <c r="B31" s="30" t="n">
        <f aca="false">EDATE(B30,1)</f>
        <v>46966</v>
      </c>
      <c r="C31" s="31"/>
      <c r="D31" s="32" t="n">
        <f aca="false">$D$5</f>
        <v>10535.6532513727</v>
      </c>
      <c r="E31" s="33" t="str">
        <f aca="false">IF(C31="","",C31-D31)</f>
        <v/>
      </c>
      <c r="F31" s="34" t="str">
        <f aca="false">IF(C31="","",IF(C31&gt;=D31,"On track","Catch up next month"))</f>
        <v/>
      </c>
      <c r="G31" s="35" t="str">
        <f aca="false">IF(C31="","",SUM($C$9:C31))</f>
        <v/>
      </c>
    </row>
    <row r="32" customFormat="false" ht="19.5" hidden="false" customHeight="true" outlineLevel="0" collapsed="false">
      <c r="B32" s="30" t="n">
        <f aca="false">EDATE(B31,1)</f>
        <v>46997</v>
      </c>
      <c r="C32" s="31"/>
      <c r="D32" s="32" t="n">
        <f aca="false">$D$5</f>
        <v>10535.6532513727</v>
      </c>
      <c r="E32" s="33" t="str">
        <f aca="false">IF(C32="","",C32-D32)</f>
        <v/>
      </c>
      <c r="F32" s="34" t="str">
        <f aca="false">IF(C32="","",IF(C32&gt;=D32,"On track","Catch up next month"))</f>
        <v/>
      </c>
      <c r="G32" s="35" t="str">
        <f aca="false">IF(C32="","",SUM($C$9:C32))</f>
        <v/>
      </c>
    </row>
    <row r="33" customFormat="false" ht="19.5" hidden="false" customHeight="true" outlineLevel="0" collapsed="false">
      <c r="B33" s="30" t="n">
        <f aca="false">EDATE(B32,1)</f>
        <v>47027</v>
      </c>
      <c r="C33" s="31"/>
      <c r="D33" s="32" t="n">
        <f aca="false">$D$5</f>
        <v>10535.6532513727</v>
      </c>
      <c r="E33" s="33" t="str">
        <f aca="false">IF(C33="","",C33-D33)</f>
        <v/>
      </c>
      <c r="F33" s="34" t="str">
        <f aca="false">IF(C33="","",IF(C33&gt;=D33,"On track","Catch up next month"))</f>
        <v/>
      </c>
      <c r="G33" s="35" t="str">
        <f aca="false">IF(C33="","",SUM($C$9:C33))</f>
        <v/>
      </c>
    </row>
    <row r="34" customFormat="false" ht="19.5" hidden="false" customHeight="true" outlineLevel="0" collapsed="false">
      <c r="B34" s="30" t="n">
        <f aca="false">EDATE(B33,1)</f>
        <v>47058</v>
      </c>
      <c r="C34" s="31"/>
      <c r="D34" s="32" t="n">
        <f aca="false">$D$5</f>
        <v>10535.6532513727</v>
      </c>
      <c r="E34" s="33" t="str">
        <f aca="false">IF(C34="","",C34-D34)</f>
        <v/>
      </c>
      <c r="F34" s="34" t="str">
        <f aca="false">IF(C34="","",IF(C34&gt;=D34,"On track","Catch up next month"))</f>
        <v/>
      </c>
      <c r="G34" s="35" t="str">
        <f aca="false">IF(C34="","",SUM($C$9:C34))</f>
        <v/>
      </c>
    </row>
    <row r="35" customFormat="false" ht="19.5" hidden="false" customHeight="true" outlineLevel="0" collapsed="false">
      <c r="B35" s="30" t="n">
        <f aca="false">EDATE(B34,1)</f>
        <v>47088</v>
      </c>
      <c r="C35" s="31"/>
      <c r="D35" s="32" t="n">
        <f aca="false">$D$5</f>
        <v>10535.6532513727</v>
      </c>
      <c r="E35" s="33" t="str">
        <f aca="false">IF(C35="","",C35-D35)</f>
        <v/>
      </c>
      <c r="F35" s="34" t="str">
        <f aca="false">IF(C35="","",IF(C35&gt;=D35,"On track","Catch up next month"))</f>
        <v/>
      </c>
      <c r="G35" s="35" t="str">
        <f aca="false">IF(C35="","",SUM($C$9:C35))</f>
        <v/>
      </c>
    </row>
    <row r="36" customFormat="false" ht="19.5" hidden="false" customHeight="true" outlineLevel="0" collapsed="false">
      <c r="B36" s="30" t="n">
        <f aca="false">EDATE(B35,1)</f>
        <v>47119</v>
      </c>
      <c r="C36" s="31"/>
      <c r="D36" s="32" t="n">
        <f aca="false">$D$5</f>
        <v>10535.6532513727</v>
      </c>
      <c r="E36" s="33" t="str">
        <f aca="false">IF(C36="","",C36-D36)</f>
        <v/>
      </c>
      <c r="F36" s="34" t="str">
        <f aca="false">IF(C36="","",IF(C36&gt;=D36,"On track","Catch up next month"))</f>
        <v/>
      </c>
      <c r="G36" s="35" t="str">
        <f aca="false">IF(C36="","",SUM($C$9:C36))</f>
        <v/>
      </c>
    </row>
    <row r="37" customFormat="false" ht="19.5" hidden="false" customHeight="true" outlineLevel="0" collapsed="false">
      <c r="B37" s="30" t="n">
        <f aca="false">EDATE(B36,1)</f>
        <v>47150</v>
      </c>
      <c r="C37" s="31"/>
      <c r="D37" s="32" t="n">
        <f aca="false">$D$5</f>
        <v>10535.6532513727</v>
      </c>
      <c r="E37" s="33" t="str">
        <f aca="false">IF(C37="","",C37-D37)</f>
        <v/>
      </c>
      <c r="F37" s="34" t="str">
        <f aca="false">IF(C37="","",IF(C37&gt;=D37,"On track","Catch up next month"))</f>
        <v/>
      </c>
      <c r="G37" s="35" t="str">
        <f aca="false">IF(C37="","",SUM($C$9:C37))</f>
        <v/>
      </c>
    </row>
    <row r="38" customFormat="false" ht="19.5" hidden="false" customHeight="true" outlineLevel="0" collapsed="false">
      <c r="B38" s="30" t="n">
        <f aca="false">EDATE(B37,1)</f>
        <v>47178</v>
      </c>
      <c r="C38" s="31"/>
      <c r="D38" s="32" t="n">
        <f aca="false">$D$5</f>
        <v>10535.6532513727</v>
      </c>
      <c r="E38" s="33" t="str">
        <f aca="false">IF(C38="","",C38-D38)</f>
        <v/>
      </c>
      <c r="F38" s="34" t="str">
        <f aca="false">IF(C38="","",IF(C38&gt;=D38,"On track","Catch up next month"))</f>
        <v/>
      </c>
      <c r="G38" s="35" t="str">
        <f aca="false">IF(C38="","",SUM($C$9:C38))</f>
        <v/>
      </c>
    </row>
    <row r="39" customFormat="false" ht="19.5" hidden="false" customHeight="true" outlineLevel="0" collapsed="false">
      <c r="B39" s="30" t="n">
        <f aca="false">EDATE(B38,1)</f>
        <v>47209</v>
      </c>
      <c r="C39" s="31"/>
      <c r="D39" s="32" t="n">
        <f aca="false">$D$5</f>
        <v>10535.6532513727</v>
      </c>
      <c r="E39" s="33" t="str">
        <f aca="false">IF(C39="","",C39-D39)</f>
        <v/>
      </c>
      <c r="F39" s="34" t="str">
        <f aca="false">IF(C39="","",IF(C39&gt;=D39,"On track","Catch up next month"))</f>
        <v/>
      </c>
      <c r="G39" s="35" t="str">
        <f aca="false">IF(C39="","",SUM($C$9:C39))</f>
        <v/>
      </c>
    </row>
    <row r="40" customFormat="false" ht="19.5" hidden="false" customHeight="true" outlineLevel="0" collapsed="false">
      <c r="B40" s="30" t="n">
        <f aca="false">EDATE(B39,1)</f>
        <v>47239</v>
      </c>
      <c r="C40" s="31"/>
      <c r="D40" s="32" t="n">
        <f aca="false">$D$5</f>
        <v>10535.6532513727</v>
      </c>
      <c r="E40" s="33" t="str">
        <f aca="false">IF(C40="","",C40-D40)</f>
        <v/>
      </c>
      <c r="F40" s="34" t="str">
        <f aca="false">IF(C40="","",IF(C40&gt;=D40,"On track","Catch up next month"))</f>
        <v/>
      </c>
      <c r="G40" s="35" t="str">
        <f aca="false">IF(C40="","",SUM($C$9:C40))</f>
        <v/>
      </c>
    </row>
    <row r="41" customFormat="false" ht="19.5" hidden="false" customHeight="true" outlineLevel="0" collapsed="false">
      <c r="B41" s="30" t="n">
        <f aca="false">EDATE(B40,1)</f>
        <v>47270</v>
      </c>
      <c r="C41" s="31"/>
      <c r="D41" s="32" t="n">
        <f aca="false">$D$5</f>
        <v>10535.6532513727</v>
      </c>
      <c r="E41" s="33" t="str">
        <f aca="false">IF(C41="","",C41-D41)</f>
        <v/>
      </c>
      <c r="F41" s="34" t="str">
        <f aca="false">IF(C41="","",IF(C41&gt;=D41,"On track","Catch up next month"))</f>
        <v/>
      </c>
      <c r="G41" s="35" t="str">
        <f aca="false">IF(C41="","",SUM($C$9:C41))</f>
        <v/>
      </c>
    </row>
    <row r="42" customFormat="false" ht="19.5" hidden="false" customHeight="true" outlineLevel="0" collapsed="false">
      <c r="B42" s="30" t="n">
        <f aca="false">EDATE(B41,1)</f>
        <v>47300</v>
      </c>
      <c r="C42" s="31"/>
      <c r="D42" s="32" t="n">
        <f aca="false">$D$5</f>
        <v>10535.6532513727</v>
      </c>
      <c r="E42" s="33" t="str">
        <f aca="false">IF(C42="","",C42-D42)</f>
        <v/>
      </c>
      <c r="F42" s="34" t="str">
        <f aca="false">IF(C42="","",IF(C42&gt;=D42,"On track","Catch up next month"))</f>
        <v/>
      </c>
      <c r="G42" s="35" t="str">
        <f aca="false">IF(C42="","",SUM($C$9:C42))</f>
        <v/>
      </c>
    </row>
    <row r="43" customFormat="false" ht="19.5" hidden="false" customHeight="true" outlineLevel="0" collapsed="false">
      <c r="B43" s="30" t="n">
        <f aca="false">EDATE(B42,1)</f>
        <v>47331</v>
      </c>
      <c r="C43" s="31"/>
      <c r="D43" s="32" t="n">
        <f aca="false">$D$5</f>
        <v>10535.6532513727</v>
      </c>
      <c r="E43" s="33" t="str">
        <f aca="false">IF(C43="","",C43-D43)</f>
        <v/>
      </c>
      <c r="F43" s="34" t="str">
        <f aca="false">IF(C43="","",IF(C43&gt;=D43,"On track","Catch up next month"))</f>
        <v/>
      </c>
      <c r="G43" s="35" t="str">
        <f aca="false">IF(C43="","",SUM($C$9:C43))</f>
        <v/>
      </c>
    </row>
    <row r="44" customFormat="false" ht="19.5" hidden="false" customHeight="true" outlineLevel="0" collapsed="false">
      <c r="B44" s="30" t="n">
        <f aca="false">EDATE(B43,1)</f>
        <v>47362</v>
      </c>
      <c r="C44" s="31"/>
      <c r="D44" s="32" t="n">
        <f aca="false">$D$5</f>
        <v>10535.6532513727</v>
      </c>
      <c r="E44" s="33" t="str">
        <f aca="false">IF(C44="","",C44-D44)</f>
        <v/>
      </c>
      <c r="F44" s="34" t="str">
        <f aca="false">IF(C44="","",IF(C44&gt;=D44,"On track","Catch up next month"))</f>
        <v/>
      </c>
      <c r="G44" s="35" t="str">
        <f aca="false">IF(C44="","",SUM($C$9:C44))</f>
        <v/>
      </c>
    </row>
    <row r="46" customFormat="false" ht="15" hidden="false" customHeight="false" outlineLevel="0" collapsed="false">
      <c r="B46" s="36" t="s">
        <v>64</v>
      </c>
    </row>
  </sheetData>
  <mergeCells count="3">
    <mergeCell ref="B3:G3"/>
    <mergeCell ref="B5:C5"/>
    <mergeCell ref="B6:C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G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1" topLeftCell="B12" activePane="bottomRight" state="frozen"/>
      <selection pane="topLeft" activeCell="A1" activeCellId="0" sqref="A1"/>
      <selection pane="topRight" activeCell="B1" activeCellId="0" sqref="B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6"/>
    <col collapsed="false" customWidth="true" hidden="false" outlineLevel="0" max="3" min="3" style="0" width="22"/>
    <col collapsed="false" customWidth="true" hidden="false" outlineLevel="0" max="4" min="4" style="0" width="16"/>
    <col collapsed="false" customWidth="true" hidden="false" outlineLevel="0" max="5" min="5" style="0" width="20"/>
    <col collapsed="false" customWidth="true" hidden="false" outlineLevel="0" max="6" min="6" style="0" width="18"/>
    <col collapsed="false" customWidth="true" hidden="false" outlineLevel="0" max="7" min="7" style="0" width="30"/>
  </cols>
  <sheetData>
    <row r="1" customFormat="false" ht="33.75" hidden="false" customHeight="true" outlineLevel="0" collapsed="false">
      <c r="B1" s="21" t="s">
        <v>65</v>
      </c>
      <c r="C1" s="2"/>
      <c r="D1" s="2"/>
      <c r="E1" s="2"/>
      <c r="F1" s="2"/>
      <c r="G1" s="2"/>
    </row>
    <row r="2" customFormat="false" ht="24" hidden="false" customHeight="true" outlineLevel="0" collapsed="false">
      <c r="B2" s="22" t="s">
        <v>66</v>
      </c>
    </row>
    <row r="3" customFormat="false" ht="43.5" hidden="false" customHeight="true" outlineLevel="0" collapsed="false">
      <c r="B3" s="23" t="s">
        <v>67</v>
      </c>
      <c r="C3" s="23"/>
      <c r="D3" s="23"/>
      <c r="E3" s="23"/>
      <c r="F3" s="23"/>
      <c r="G3" s="23"/>
    </row>
    <row r="5" customFormat="false" ht="21.75" hidden="false" customHeight="true" outlineLevel="0" collapsed="false">
      <c r="B5" s="24" t="s">
        <v>8</v>
      </c>
      <c r="C5" s="24"/>
      <c r="D5" s="25" t="n">
        <f aca="false">'Endgame Calculator'!C8</f>
        <v>3750000</v>
      </c>
      <c r="E5" s="26" t="s">
        <v>68</v>
      </c>
    </row>
    <row r="6" customFormat="false" ht="21.75" hidden="false" customHeight="true" outlineLevel="0" collapsed="false">
      <c r="B6" s="24" t="s">
        <v>69</v>
      </c>
      <c r="C6" s="24"/>
      <c r="D6" s="14" t="n">
        <f aca="false">'Endgame Calculator'!C11</f>
        <v>100000</v>
      </c>
      <c r="E6" s="26" t="s">
        <v>70</v>
      </c>
    </row>
    <row r="7" customFormat="false" ht="21.75" hidden="false" customHeight="true" outlineLevel="0" collapsed="false">
      <c r="B7" s="24" t="s">
        <v>27</v>
      </c>
      <c r="C7" s="24"/>
      <c r="D7" s="14" t="n">
        <f aca="false">'Endgame Calculator'!C21</f>
        <v>126427.839016473</v>
      </c>
      <c r="E7" s="26" t="s">
        <v>71</v>
      </c>
    </row>
    <row r="8" customFormat="false" ht="21.75" hidden="false" customHeight="true" outlineLevel="0" collapsed="false">
      <c r="B8" s="24" t="s">
        <v>15</v>
      </c>
      <c r="C8" s="24"/>
      <c r="D8" s="15" t="n">
        <f aca="false">'Endgame Calculator'!C13</f>
        <v>0.08</v>
      </c>
      <c r="E8" s="26" t="s">
        <v>70</v>
      </c>
    </row>
    <row r="9" customFormat="false" ht="21.75" hidden="false" customHeight="true" outlineLevel="0" collapsed="false">
      <c r="B9" s="24" t="s">
        <v>72</v>
      </c>
      <c r="C9" s="24"/>
      <c r="D9" s="37" t="n">
        <f aca="false">'Monthly Check-in'!D6</f>
        <v>46296</v>
      </c>
      <c r="E9" s="26" t="s">
        <v>73</v>
      </c>
    </row>
    <row r="11" customFormat="false" ht="30" hidden="false" customHeight="true" outlineLevel="0" collapsed="false">
      <c r="B11" s="28" t="s">
        <v>74</v>
      </c>
      <c r="C11" s="29" t="s">
        <v>75</v>
      </c>
      <c r="D11" s="29" t="s">
        <v>76</v>
      </c>
      <c r="E11" s="29" t="s">
        <v>77</v>
      </c>
      <c r="F11" s="29" t="s">
        <v>78</v>
      </c>
      <c r="G11" s="29" t="s">
        <v>79</v>
      </c>
    </row>
    <row r="12" customFormat="false" ht="19.5" hidden="false" customHeight="true" outlineLevel="0" collapsed="false">
      <c r="B12" s="30" t="n">
        <f aca="false">D9</f>
        <v>46296</v>
      </c>
      <c r="C12" s="31" t="n">
        <f aca="false">D6</f>
        <v>100000</v>
      </c>
      <c r="D12" s="38" t="n">
        <f aca="false">IF(C12="","",IFERROR(C12/$D$5,0))</f>
        <v>0.0266666666666667</v>
      </c>
      <c r="E12" s="32" t="n">
        <f aca="false">IFERROR($D$6*(1+$D$8)^((ROW()-ROW($B$12))/4)+$D$7*((1+$D$8)^((ROW()-ROW($B$12))/4)-1)/$D$8,$D$6+$D$7*((ROW()-ROW($B$12))/4))</f>
        <v>100000</v>
      </c>
      <c r="F12" s="33" t="n">
        <f aca="false">IF(C12="","",C12-E12)</f>
        <v>0</v>
      </c>
      <c r="G12" s="39" t="str">
        <f aca="false">IF(C12="","",REPT("■",ROUND(MIN(D12,1)*20,0))&amp;REPT("□",20-ROUND(MIN(D12,1)*20,0)))</f>
        <v>■□□□□□□□□□□□□□□□□□□□</v>
      </c>
    </row>
    <row r="13" customFormat="false" ht="19.5" hidden="false" customHeight="true" outlineLevel="0" collapsed="false">
      <c r="B13" s="30" t="n">
        <f aca="false">EDATE(B12,3)</f>
        <v>46388</v>
      </c>
      <c r="C13" s="31"/>
      <c r="D13" s="38" t="str">
        <f aca="false">IF(C13="","",IFERROR(C13/$D$5,0))</f>
        <v/>
      </c>
      <c r="E13" s="32" t="n">
        <f aca="false">IFERROR($D$6*(1+$D$8)^((ROW()-ROW($B$12))/4)+$D$7*((1+$D$8)^((ROW()-ROW($B$12))/4)-1)/$D$8,$D$6+$D$7*((ROW()-ROW($B$12))/4))</f>
        <v>132643.359005392</v>
      </c>
      <c r="F13" s="33" t="str">
        <f aca="false">IF(C13="","",C13-E13)</f>
        <v/>
      </c>
      <c r="G13" s="39" t="str">
        <f aca="false">IF(C13="","",REPT("■",ROUND(MIN(D13,1)*20,0))&amp;REPT("□",20-ROUND(MIN(D13,1)*20,0)))</f>
        <v/>
      </c>
    </row>
    <row r="14" customFormat="false" ht="19.5" hidden="false" customHeight="true" outlineLevel="0" collapsed="false">
      <c r="B14" s="30" t="n">
        <f aca="false">EDATE(B13,3)</f>
        <v>46478</v>
      </c>
      <c r="C14" s="31"/>
      <c r="D14" s="38" t="str">
        <f aca="false">IF(C14="","",IFERROR(C14/$D$5,0))</f>
        <v/>
      </c>
      <c r="E14" s="32" t="n">
        <f aca="false">IFERROR($D$6*(1+$D$8)^((ROW()-ROW($B$12))/4)+$D$7*((1+$D$8)^((ROW()-ROW($B$12))/4)-1)/$D$8,$D$6+$D$7*((ROW()-ROW($B$12))/4))</f>
        <v>165920.865755746</v>
      </c>
      <c r="F14" s="33" t="str">
        <f aca="false">IF(C14="","",C14-E14)</f>
        <v/>
      </c>
      <c r="G14" s="39" t="str">
        <f aca="false">IF(C14="","",REPT("■",ROUND(MIN(D14,1)*20,0))&amp;REPT("□",20-ROUND(MIN(D14,1)*20,0)))</f>
        <v/>
      </c>
    </row>
    <row r="15" customFormat="false" ht="19.5" hidden="false" customHeight="true" outlineLevel="0" collapsed="false">
      <c r="B15" s="30" t="n">
        <f aca="false">EDATE(B14,3)</f>
        <v>46569</v>
      </c>
      <c r="C15" s="31"/>
      <c r="D15" s="38" t="str">
        <f aca="false">IF(C15="","",IFERROR(C15/$D$5,0))</f>
        <v/>
      </c>
      <c r="E15" s="32" t="n">
        <f aca="false">IFERROR($D$6*(1+$D$8)^((ROW()-ROW($B$12))/4)+$D$7*((1+$D$8)^((ROW()-ROW($B$12))/4)-1)/$D$8,$D$6+$D$7*((ROW()-ROW($B$12))/4))</f>
        <v>199844.839551976</v>
      </c>
      <c r="F15" s="33" t="str">
        <f aca="false">IF(C15="","",C15-E15)</f>
        <v/>
      </c>
      <c r="G15" s="39" t="str">
        <f aca="false">IF(C15="","",REPT("■",ROUND(MIN(D15,1)*20,0))&amp;REPT("□",20-ROUND(MIN(D15,1)*20,0)))</f>
        <v/>
      </c>
    </row>
    <row r="16" customFormat="false" ht="19.5" hidden="false" customHeight="true" outlineLevel="0" collapsed="false">
      <c r="B16" s="30" t="n">
        <f aca="false">EDATE(B15,3)</f>
        <v>46661</v>
      </c>
      <c r="C16" s="31"/>
      <c r="D16" s="38" t="str">
        <f aca="false">IF(C16="","",IFERROR(C16/$D$5,0))</f>
        <v/>
      </c>
      <c r="E16" s="32" t="n">
        <f aca="false">IFERROR($D$6*(1+$D$8)^((ROW()-ROW($B$12))/4)+$D$7*((1+$D$8)^((ROW()-ROW($B$12))/4)-1)/$D$8,$D$6+$D$7*((ROW()-ROW($B$12))/4))</f>
        <v>234427.839016473</v>
      </c>
      <c r="F16" s="33" t="str">
        <f aca="false">IF(C16="","",C16-E16)</f>
        <v/>
      </c>
      <c r="G16" s="39" t="str">
        <f aca="false">IF(C16="","",REPT("■",ROUND(MIN(D16,1)*20,0))&amp;REPT("□",20-ROUND(MIN(D16,1)*20,0)))</f>
        <v/>
      </c>
    </row>
    <row r="17" customFormat="false" ht="19.5" hidden="false" customHeight="true" outlineLevel="0" collapsed="false">
      <c r="B17" s="30" t="n">
        <f aca="false">EDATE(B16,3)</f>
        <v>46753</v>
      </c>
      <c r="C17" s="31"/>
      <c r="D17" s="38" t="str">
        <f aca="false">IF(C17="","",IFERROR(C17/$D$5,0))</f>
        <v/>
      </c>
      <c r="E17" s="32" t="n">
        <f aca="false">IFERROR($D$6*(1+$D$8)^((ROW()-ROW($B$12))/4)+$D$7*((1+$D$8)^((ROW()-ROW($B$12))/4)-1)/$D$8,$D$6+$D$7*((ROW()-ROW($B$12))/4))</f>
        <v>269682.666742297</v>
      </c>
      <c r="F17" s="33" t="str">
        <f aca="false">IF(C17="","",C17-E17)</f>
        <v/>
      </c>
      <c r="G17" s="39" t="str">
        <f aca="false">IF(C17="","",REPT("■",ROUND(MIN(D17,1)*20,0))&amp;REPT("□",20-ROUND(MIN(D17,1)*20,0)))</f>
        <v/>
      </c>
    </row>
    <row r="18" customFormat="false" ht="19.5" hidden="false" customHeight="true" outlineLevel="0" collapsed="false">
      <c r="B18" s="30" t="n">
        <f aca="false">EDATE(B17,3)</f>
        <v>46844</v>
      </c>
      <c r="C18" s="31"/>
      <c r="D18" s="38" t="str">
        <f aca="false">IF(C18="","",IFERROR(C18/$D$5,0))</f>
        <v/>
      </c>
      <c r="E18" s="32" t="n">
        <f aca="false">IFERROR($D$6*(1+$D$8)^((ROW()-ROW($B$12))/4)+$D$7*((1+$D$8)^((ROW()-ROW($B$12))/4)-1)/$D$8,$D$6+$D$7*((ROW()-ROW($B$12))/4))</f>
        <v>305622.374032678</v>
      </c>
      <c r="F18" s="33" t="str">
        <f aca="false">IF(C18="","",C18-E18)</f>
        <v/>
      </c>
      <c r="G18" s="39" t="str">
        <f aca="false">IF(C18="","",REPT("■",ROUND(MIN(D18,1)*20,0))&amp;REPT("□",20-ROUND(MIN(D18,1)*20,0)))</f>
        <v/>
      </c>
    </row>
    <row r="19" customFormat="false" ht="19.5" hidden="false" customHeight="true" outlineLevel="0" collapsed="false">
      <c r="B19" s="30" t="n">
        <f aca="false">EDATE(B18,3)</f>
        <v>46935</v>
      </c>
      <c r="C19" s="31"/>
      <c r="D19" s="38" t="str">
        <f aca="false">IF(C19="","",IFERROR(C19/$D$5,0))</f>
        <v/>
      </c>
      <c r="E19" s="32" t="n">
        <f aca="false">IFERROR($D$6*(1+$D$8)^((ROW()-ROW($B$12))/4)+$D$7*((1+$D$8)^((ROW()-ROW($B$12))/4)-1)/$D$8,$D$6+$D$7*((ROW()-ROW($B$12))/4))</f>
        <v>342260.265732607</v>
      </c>
      <c r="F19" s="33" t="str">
        <f aca="false">IF(C19="","",C19-E19)</f>
        <v/>
      </c>
      <c r="G19" s="39" t="str">
        <f aca="false">IF(C19="","",REPT("■",ROUND(MIN(D19,1)*20,0))&amp;REPT("□",20-ROUND(MIN(D19,1)*20,0)))</f>
        <v/>
      </c>
    </row>
    <row r="20" customFormat="false" ht="19.5" hidden="false" customHeight="true" outlineLevel="0" collapsed="false">
      <c r="B20" s="30" t="n">
        <f aca="false">EDATE(B19,3)</f>
        <v>47027</v>
      </c>
      <c r="C20" s="31"/>
      <c r="D20" s="38" t="str">
        <f aca="false">IF(C20="","",IFERROR(C20/$D$5,0))</f>
        <v/>
      </c>
      <c r="E20" s="32" t="n">
        <f aca="false">IFERROR($D$6*(1+$D$8)^((ROW()-ROW($B$12))/4)+$D$7*((1+$D$8)^((ROW()-ROW($B$12))/4)-1)/$D$8,$D$6+$D$7*((ROW()-ROW($B$12))/4))</f>
        <v>379609.905154264</v>
      </c>
      <c r="F20" s="33" t="str">
        <f aca="false">IF(C20="","",C20-E20)</f>
        <v/>
      </c>
      <c r="G20" s="39" t="str">
        <f aca="false">IF(C20="","",REPT("■",ROUND(MIN(D20,1)*20,0))&amp;REPT("□",20-ROUND(MIN(D20,1)*20,0)))</f>
        <v/>
      </c>
    </row>
    <row r="21" customFormat="false" ht="19.5" hidden="false" customHeight="true" outlineLevel="0" collapsed="false">
      <c r="B21" s="30" t="n">
        <f aca="false">EDATE(B20,3)</f>
        <v>47119</v>
      </c>
      <c r="C21" s="31"/>
      <c r="D21" s="38" t="str">
        <f aca="false">IF(C21="","",IFERROR(C21/$D$5,0))</f>
        <v/>
      </c>
      <c r="E21" s="32" t="n">
        <f aca="false">IFERROR($D$6*(1+$D$8)^((ROW()-ROW($B$12))/4)+$D$7*((1+$D$8)^((ROW()-ROW($B$12))/4)-1)/$D$8,$D$6+$D$7*((ROW()-ROW($B$12))/4))</f>
        <v>417685.119098153</v>
      </c>
      <c r="F21" s="33" t="str">
        <f aca="false">IF(C21="","",C21-E21)</f>
        <v/>
      </c>
      <c r="G21" s="39" t="str">
        <f aca="false">IF(C21="","",REPT("■",ROUND(MIN(D21,1)*20,0))&amp;REPT("□",20-ROUND(MIN(D21,1)*20,0)))</f>
        <v/>
      </c>
    </row>
    <row r="22" customFormat="false" ht="19.5" hidden="false" customHeight="true" outlineLevel="0" collapsed="false">
      <c r="B22" s="30" t="n">
        <f aca="false">EDATE(B21,3)</f>
        <v>47209</v>
      </c>
      <c r="C22" s="31"/>
      <c r="D22" s="38" t="str">
        <f aca="false">IF(C22="","",IFERROR(C22/$D$5,0))</f>
        <v/>
      </c>
      <c r="E22" s="32" t="n">
        <f aca="false">IFERROR($D$6*(1+$D$8)^((ROW()-ROW($B$12))/4)+$D$7*((1+$D$8)^((ROW()-ROW($B$12))/4)-1)/$D$8,$D$6+$D$7*((ROW()-ROW($B$12))/4))</f>
        <v>456500.002971766</v>
      </c>
      <c r="F22" s="33" t="str">
        <f aca="false">IF(C22="","",C22-E22)</f>
        <v/>
      </c>
      <c r="G22" s="39" t="str">
        <f aca="false">IF(C22="","",REPT("■",ROUND(MIN(D22,1)*20,0))&amp;REPT("□",20-ROUND(MIN(D22,1)*20,0)))</f>
        <v/>
      </c>
    </row>
    <row r="23" customFormat="false" ht="19.5" hidden="false" customHeight="true" outlineLevel="0" collapsed="false">
      <c r="B23" s="30" t="n">
        <f aca="false">EDATE(B22,3)</f>
        <v>47300</v>
      </c>
      <c r="C23" s="31"/>
      <c r="D23" s="38" t="str">
        <f aca="false">IF(C23="","",IFERROR(C23/$D$5,0))</f>
        <v/>
      </c>
      <c r="E23" s="32" t="n">
        <f aca="false">IFERROR($D$6*(1+$D$8)^((ROW()-ROW($B$12))/4)+$D$7*((1+$D$8)^((ROW()-ROW($B$12))/4)-1)/$D$8,$D$6+$D$7*((ROW()-ROW($B$12))/4))</f>
        <v>496068.926007689</v>
      </c>
      <c r="F23" s="33" t="str">
        <f aca="false">IF(C23="","",C23-E23)</f>
        <v/>
      </c>
      <c r="G23" s="39" t="str">
        <f aca="false">IF(C23="","",REPT("■",ROUND(MIN(D23,1)*20,0))&amp;REPT("□",20-ROUND(MIN(D23,1)*20,0)))</f>
        <v/>
      </c>
    </row>
    <row r="24" customFormat="false" ht="19.5" hidden="false" customHeight="true" outlineLevel="0" collapsed="false">
      <c r="B24" s="30" t="n">
        <f aca="false">EDATE(B23,3)</f>
        <v>47392</v>
      </c>
      <c r="C24" s="31"/>
      <c r="D24" s="38" t="str">
        <f aca="false">IF(C24="","",IFERROR(C24/$D$5,0))</f>
        <v/>
      </c>
      <c r="E24" s="32" t="n">
        <f aca="false">IFERROR($D$6*(1+$D$8)^((ROW()-ROW($B$12))/4)+$D$7*((1+$D$8)^((ROW()-ROW($B$12))/4)-1)/$D$8,$D$6+$D$7*((ROW()-ROW($B$12))/4))</f>
        <v>536406.536583078</v>
      </c>
      <c r="F24" s="33" t="str">
        <f aca="false">IF(C24="","",C24-E24)</f>
        <v/>
      </c>
      <c r="G24" s="39" t="str">
        <f aca="false">IF(C24="","",REPT("■",ROUND(MIN(D24,1)*20,0))&amp;REPT("□",20-ROUND(MIN(D24,1)*20,0)))</f>
        <v/>
      </c>
    </row>
    <row r="25" customFormat="false" ht="19.5" hidden="false" customHeight="true" outlineLevel="0" collapsed="false">
      <c r="B25" s="30" t="n">
        <f aca="false">EDATE(B24,3)</f>
        <v>47484</v>
      </c>
      <c r="C25" s="31"/>
      <c r="D25" s="38" t="str">
        <f aca="false">IF(C25="","",IFERROR(C25/$D$5,0))</f>
        <v/>
      </c>
      <c r="E25" s="32" t="n">
        <f aca="false">IFERROR($D$6*(1+$D$8)^((ROW()-ROW($B$12))/4)+$D$7*((1+$D$8)^((ROW()-ROW($B$12))/4)-1)/$D$8,$D$6+$D$7*((ROW()-ROW($B$12))/4))</f>
        <v>577527.767642479</v>
      </c>
      <c r="F25" s="33" t="str">
        <f aca="false">IF(C25="","",C25-E25)</f>
        <v/>
      </c>
      <c r="G25" s="39" t="str">
        <f aca="false">IF(C25="","",REPT("■",ROUND(MIN(D25,1)*20,0))&amp;REPT("□",20-ROUND(MIN(D25,1)*20,0)))</f>
        <v/>
      </c>
    </row>
    <row r="26" customFormat="false" ht="19.5" hidden="false" customHeight="true" outlineLevel="0" collapsed="false">
      <c r="B26" s="30" t="n">
        <f aca="false">EDATE(B25,3)</f>
        <v>47574</v>
      </c>
      <c r="C26" s="31"/>
      <c r="D26" s="38" t="str">
        <f aca="false">IF(C26="","",IFERROR(C26/$D$5,0))</f>
        <v/>
      </c>
      <c r="E26" s="32" t="n">
        <f aca="false">IFERROR($D$6*(1+$D$8)^((ROW()-ROW($B$12))/4)+$D$7*((1+$D$8)^((ROW()-ROW($B$12))/4)-1)/$D$8,$D$6+$D$7*((ROW()-ROW($B$12))/4))</f>
        <v>619447.84222598</v>
      </c>
      <c r="F26" s="33" t="str">
        <f aca="false">IF(C26="","",C26-E26)</f>
        <v/>
      </c>
      <c r="G26" s="39" t="str">
        <f aca="false">IF(C26="","",REPT("■",ROUND(MIN(D26,1)*20,0))&amp;REPT("□",20-ROUND(MIN(D26,1)*20,0)))</f>
        <v/>
      </c>
    </row>
    <row r="27" customFormat="false" ht="19.5" hidden="false" customHeight="true" outlineLevel="0" collapsed="false">
      <c r="B27" s="30" t="n">
        <f aca="false">EDATE(B26,3)</f>
        <v>47665</v>
      </c>
      <c r="C27" s="31"/>
      <c r="D27" s="38" t="str">
        <f aca="false">IF(C27="","",IFERROR(C27/$D$5,0))</f>
        <v/>
      </c>
      <c r="E27" s="32" t="n">
        <f aca="false">IFERROR($D$6*(1+$D$8)^((ROW()-ROW($B$12))/4)+$D$7*((1+$D$8)^((ROW()-ROW($B$12))/4)-1)/$D$8,$D$6+$D$7*((ROW()-ROW($B$12))/4))</f>
        <v>662182.279104777</v>
      </c>
      <c r="F27" s="33" t="str">
        <f aca="false">IF(C27="","",C27-E27)</f>
        <v/>
      </c>
      <c r="G27" s="39" t="str">
        <f aca="false">IF(C27="","",REPT("■",ROUND(MIN(D27,1)*20,0))&amp;REPT("□",20-ROUND(MIN(D27,1)*20,0)))</f>
        <v/>
      </c>
    </row>
    <row r="28" customFormat="false" ht="19.5" hidden="false" customHeight="true" outlineLevel="0" collapsed="false">
      <c r="B28" s="30" t="n">
        <f aca="false">EDATE(B27,3)</f>
        <v>47757</v>
      </c>
      <c r="C28" s="31"/>
      <c r="D28" s="38" t="str">
        <f aca="false">IF(C28="","",IFERROR(C28/$D$5,0))</f>
        <v/>
      </c>
      <c r="E28" s="32" t="n">
        <f aca="false">IFERROR($D$6*(1+$D$8)^((ROW()-ROW($B$12))/4)+$D$7*((1+$D$8)^((ROW()-ROW($B$12))/4)-1)/$D$8,$D$6+$D$7*((ROW()-ROW($B$12))/4))</f>
        <v>705746.898526198</v>
      </c>
      <c r="F28" s="33" t="str">
        <f aca="false">IF(C28="","",C28-E28)</f>
        <v/>
      </c>
      <c r="G28" s="39" t="str">
        <f aca="false">IF(C28="","",REPT("■",ROUND(MIN(D28,1)*20,0))&amp;REPT("□",20-ROUND(MIN(D28,1)*20,0)))</f>
        <v/>
      </c>
    </row>
    <row r="29" customFormat="false" ht="19.5" hidden="false" customHeight="true" outlineLevel="0" collapsed="false">
      <c r="B29" s="30" t="n">
        <f aca="false">EDATE(B28,3)</f>
        <v>47849</v>
      </c>
      <c r="C29" s="31"/>
      <c r="D29" s="38" t="str">
        <f aca="false">IF(C29="","",IFERROR(C29/$D$5,0))</f>
        <v/>
      </c>
      <c r="E29" s="32" t="n">
        <f aca="false">IFERROR($D$6*(1+$D$8)^((ROW()-ROW($B$12))/4)+$D$7*((1+$D$8)^((ROW()-ROW($B$12))/4)-1)/$D$8,$D$6+$D$7*((ROW()-ROW($B$12))/4))</f>
        <v>750157.82807035</v>
      </c>
      <c r="F29" s="33" t="str">
        <f aca="false">IF(C29="","",C29-E29)</f>
        <v/>
      </c>
      <c r="G29" s="39" t="str">
        <f aca="false">IF(C29="","",REPT("■",ROUND(MIN(D29,1)*20,0))&amp;REPT("□",20-ROUND(MIN(D29,1)*20,0)))</f>
        <v/>
      </c>
    </row>
    <row r="30" customFormat="false" ht="19.5" hidden="false" customHeight="true" outlineLevel="0" collapsed="false">
      <c r="B30" s="30" t="n">
        <f aca="false">EDATE(B29,3)</f>
        <v>47939</v>
      </c>
      <c r="C30" s="31"/>
      <c r="D30" s="38" t="str">
        <f aca="false">IF(C30="","",IFERROR(C30/$D$5,0))</f>
        <v/>
      </c>
      <c r="E30" s="32" t="n">
        <f aca="false">IFERROR($D$6*(1+$D$8)^((ROW()-ROW($B$12))/4)+$D$7*((1+$D$8)^((ROW()-ROW($B$12))/4)-1)/$D$8,$D$6+$D$7*((ROW()-ROW($B$12))/4))</f>
        <v>795431.508620532</v>
      </c>
      <c r="F30" s="33" t="str">
        <f aca="false">IF(C30="","",C30-E30)</f>
        <v/>
      </c>
      <c r="G30" s="39" t="str">
        <f aca="false">IF(C30="","",REPT("■",ROUND(MIN(D30,1)*20,0))&amp;REPT("□",20-ROUND(MIN(D30,1)*20,0)))</f>
        <v/>
      </c>
    </row>
    <row r="31" customFormat="false" ht="19.5" hidden="false" customHeight="true" outlineLevel="0" collapsed="false">
      <c r="B31" s="30" t="n">
        <f aca="false">EDATE(B30,3)</f>
        <v>48030</v>
      </c>
      <c r="C31" s="31"/>
      <c r="D31" s="38" t="str">
        <f aca="false">IF(C31="","",IFERROR(C31/$D$5,0))</f>
        <v/>
      </c>
      <c r="E31" s="32" t="n">
        <f aca="false">IFERROR($D$6*(1+$D$8)^((ROW()-ROW($B$12))/4)+$D$7*((1+$D$8)^((ROW()-ROW($B$12))/4)-1)/$D$8,$D$6+$D$7*((ROW()-ROW($B$12))/4))</f>
        <v>841584.700449632</v>
      </c>
      <c r="F31" s="33" t="str">
        <f aca="false">IF(C31="","",C31-E31)</f>
        <v/>
      </c>
      <c r="G31" s="39" t="str">
        <f aca="false">IF(C31="","",REPT("■",ROUND(MIN(D31,1)*20,0))&amp;REPT("□",20-ROUND(MIN(D31,1)*20,0)))</f>
        <v/>
      </c>
    </row>
    <row r="32" customFormat="false" ht="19.5" hidden="false" customHeight="true" outlineLevel="0" collapsed="false">
      <c r="B32" s="30" t="n">
        <f aca="false">EDATE(B31,3)</f>
        <v>48122</v>
      </c>
      <c r="C32" s="31"/>
      <c r="D32" s="38" t="str">
        <f aca="false">IF(C32="","",IFERROR(C32/$D$5,0))</f>
        <v/>
      </c>
      <c r="E32" s="32" t="n">
        <f aca="false">IFERROR($D$6*(1+$D$8)^((ROW()-ROW($B$12))/4)+$D$7*((1+$D$8)^((ROW()-ROW($B$12))/4)-1)/$D$8,$D$6+$D$7*((ROW()-ROW($B$12))/4))</f>
        <v>888634.489424767</v>
      </c>
      <c r="F32" s="33" t="str">
        <f aca="false">IF(C32="","",C32-E32)</f>
        <v/>
      </c>
      <c r="G32" s="39" t="str">
        <f aca="false">IF(C32="","",REPT("■",ROUND(MIN(D32,1)*20,0))&amp;REPT("□",20-ROUND(MIN(D32,1)*20,0)))</f>
        <v/>
      </c>
    </row>
    <row r="33" customFormat="false" ht="19.5" hidden="false" customHeight="true" outlineLevel="0" collapsed="false">
      <c r="B33" s="30" t="n">
        <f aca="false">EDATE(B32,3)</f>
        <v>48214</v>
      </c>
      <c r="C33" s="31"/>
      <c r="D33" s="38" t="str">
        <f aca="false">IF(C33="","",IFERROR(C33/$D$5,0))</f>
        <v/>
      </c>
      <c r="E33" s="32" t="n">
        <f aca="false">IFERROR($D$6*(1+$D$8)^((ROW()-ROW($B$12))/4)+$D$7*((1+$D$8)^((ROW()-ROW($B$12))/4)-1)/$D$8,$D$6+$D$7*((ROW()-ROW($B$12))/4))</f>
        <v>936598.293332451</v>
      </c>
      <c r="F33" s="33" t="str">
        <f aca="false">IF(C33="","",C33-E33)</f>
        <v/>
      </c>
      <c r="G33" s="39" t="str">
        <f aca="false">IF(C33="","",REPT("■",ROUND(MIN(D33,1)*20,0))&amp;REPT("□",20-ROUND(MIN(D33,1)*20,0)))</f>
        <v/>
      </c>
    </row>
    <row r="34" customFormat="false" ht="19.5" hidden="false" customHeight="true" outlineLevel="0" collapsed="false">
      <c r="B34" s="30" t="n">
        <f aca="false">EDATE(B33,3)</f>
        <v>48305</v>
      </c>
      <c r="C34" s="31"/>
      <c r="D34" s="38" t="str">
        <f aca="false">IF(C34="","",IFERROR(C34/$D$5,0))</f>
        <v/>
      </c>
      <c r="E34" s="32" t="n">
        <f aca="false">IFERROR($D$6*(1+$D$8)^((ROW()-ROW($B$12))/4)+$D$7*((1+$D$8)^((ROW()-ROW($B$12))/4)-1)/$D$8,$D$6+$D$7*((ROW()-ROW($B$12))/4))</f>
        <v>985493.868326648</v>
      </c>
      <c r="F34" s="33" t="str">
        <f aca="false">IF(C34="","",C34-E34)</f>
        <v/>
      </c>
      <c r="G34" s="39" t="str">
        <f aca="false">IF(C34="","",REPT("■",ROUND(MIN(D34,1)*20,0))&amp;REPT("□",20-ROUND(MIN(D34,1)*20,0)))</f>
        <v/>
      </c>
    </row>
    <row r="35" customFormat="false" ht="19.5" hidden="false" customHeight="true" outlineLevel="0" collapsed="false">
      <c r="B35" s="30" t="n">
        <f aca="false">EDATE(B34,3)</f>
        <v>48396</v>
      </c>
      <c r="C35" s="31"/>
      <c r="D35" s="38" t="str">
        <f aca="false">IF(C35="","",IFERROR(C35/$D$5,0))</f>
        <v/>
      </c>
      <c r="E35" s="32" t="n">
        <f aca="false">IFERROR($D$6*(1+$D$8)^((ROW()-ROW($B$12))/4)+$D$7*((1+$D$8)^((ROW()-ROW($B$12))/4)-1)/$D$8,$D$6+$D$7*((ROW()-ROW($B$12))/4))</f>
        <v>1035339.31550208</v>
      </c>
      <c r="F35" s="33" t="str">
        <f aca="false">IF(C35="","",C35-E35)</f>
        <v/>
      </c>
      <c r="G35" s="39" t="str">
        <f aca="false">IF(C35="","",REPT("■",ROUND(MIN(D35,1)*20,0))&amp;REPT("□",20-ROUND(MIN(D35,1)*20,0)))</f>
        <v/>
      </c>
    </row>
    <row r="36" customFormat="false" ht="19.5" hidden="false" customHeight="true" outlineLevel="0" collapsed="false">
      <c r="B36" s="30" t="n">
        <f aca="false">EDATE(B35,3)</f>
        <v>48488</v>
      </c>
      <c r="C36" s="31"/>
      <c r="D36" s="38" t="str">
        <f aca="false">IF(C36="","",IFERROR(C36/$D$5,0))</f>
        <v/>
      </c>
      <c r="E36" s="32" t="n">
        <f aca="false">IFERROR($D$6*(1+$D$8)^((ROW()-ROW($B$12))/4)+$D$7*((1+$D$8)^((ROW()-ROW($B$12))/4)-1)/$D$8,$D$6+$D$7*((ROW()-ROW($B$12))/4))</f>
        <v>1086153.08759522</v>
      </c>
      <c r="F36" s="33" t="str">
        <f aca="false">IF(C36="","",C36-E36)</f>
        <v/>
      </c>
      <c r="G36" s="39" t="str">
        <f aca="false">IF(C36="","",REPT("■",ROUND(MIN(D36,1)*20,0))&amp;REPT("□",20-ROUND(MIN(D36,1)*20,0)))</f>
        <v/>
      </c>
    </row>
    <row r="37" customFormat="false" ht="19.5" hidden="false" customHeight="true" outlineLevel="0" collapsed="false">
      <c r="B37" s="30" t="n">
        <f aca="false">EDATE(B36,3)</f>
        <v>48580</v>
      </c>
      <c r="C37" s="31"/>
      <c r="D37" s="38" t="str">
        <f aca="false">IF(C37="","",IFERROR(C37/$D$5,0))</f>
        <v/>
      </c>
      <c r="E37" s="32" t="n">
        <f aca="false">IFERROR($D$6*(1+$D$8)^((ROW()-ROW($B$12))/4)+$D$7*((1+$D$8)^((ROW()-ROW($B$12))/4)-1)/$D$8,$D$6+$D$7*((ROW()-ROW($B$12))/4))</f>
        <v>1137953.99581552</v>
      </c>
      <c r="F37" s="33" t="str">
        <f aca="false">IF(C37="","",C37-E37)</f>
        <v/>
      </c>
      <c r="G37" s="39" t="str">
        <f aca="false">IF(C37="","",REPT("■",ROUND(MIN(D37,1)*20,0))&amp;REPT("□",20-ROUND(MIN(D37,1)*20,0)))</f>
        <v/>
      </c>
    </row>
    <row r="38" customFormat="false" ht="19.5" hidden="false" customHeight="true" outlineLevel="0" collapsed="false">
      <c r="B38" s="30" t="n">
        <f aca="false">EDATE(B37,3)</f>
        <v>48670</v>
      </c>
      <c r="C38" s="31"/>
      <c r="D38" s="38" t="str">
        <f aca="false">IF(C38="","",IFERROR(C38/$D$5,0))</f>
        <v/>
      </c>
      <c r="E38" s="32" t="n">
        <f aca="false">IFERROR($D$6*(1+$D$8)^((ROW()-ROW($B$12))/4)+$D$7*((1+$D$8)^((ROW()-ROW($B$12))/4)-1)/$D$8,$D$6+$D$7*((ROW()-ROW($B$12))/4))</f>
        <v>1190761.21680925</v>
      </c>
      <c r="F38" s="33" t="str">
        <f aca="false">IF(C38="","",C38-E38)</f>
        <v/>
      </c>
      <c r="G38" s="39" t="str">
        <f aca="false">IF(C38="","",REPT("■",ROUND(MIN(D38,1)*20,0))&amp;REPT("□",20-ROUND(MIN(D38,1)*20,0)))</f>
        <v/>
      </c>
    </row>
    <row r="39" customFormat="false" ht="19.5" hidden="false" customHeight="true" outlineLevel="0" collapsed="false">
      <c r="B39" s="30" t="n">
        <f aca="false">EDATE(B38,3)</f>
        <v>48761</v>
      </c>
      <c r="C39" s="31"/>
      <c r="D39" s="38" t="str">
        <f aca="false">IF(C39="","",IFERROR(C39/$D$5,0))</f>
        <v/>
      </c>
      <c r="E39" s="32" t="n">
        <f aca="false">IFERROR($D$6*(1+$D$8)^((ROW()-ROW($B$12))/4)+$D$7*((1+$D$8)^((ROW()-ROW($B$12))/4)-1)/$D$8,$D$6+$D$7*((ROW()-ROW($B$12))/4))</f>
        <v>1244594.29975872</v>
      </c>
      <c r="F39" s="33" t="str">
        <f aca="false">IF(C39="","",C39-E39)</f>
        <v/>
      </c>
      <c r="G39" s="39" t="str">
        <f aca="false">IF(C39="","",REPT("■",ROUND(MIN(D39,1)*20,0))&amp;REPT("□",20-ROUND(MIN(D39,1)*20,0)))</f>
        <v/>
      </c>
    </row>
    <row r="40" customFormat="false" ht="19.5" hidden="false" customHeight="true" outlineLevel="0" collapsed="false">
      <c r="B40" s="30" t="n">
        <f aca="false">EDATE(B39,3)</f>
        <v>48853</v>
      </c>
      <c r="C40" s="31"/>
      <c r="D40" s="38" t="str">
        <f aca="false">IF(C40="","",IFERROR(C40/$D$5,0))</f>
        <v/>
      </c>
      <c r="E40" s="32" t="n">
        <f aca="false">IFERROR($D$6*(1+$D$8)^((ROW()-ROW($B$12))/4)+$D$7*((1+$D$8)^((ROW()-ROW($B$12))/4)-1)/$D$8,$D$6+$D$7*((ROW()-ROW($B$12))/4))</f>
        <v>1299473.17361931</v>
      </c>
      <c r="F40" s="33" t="str">
        <f aca="false">IF(C40="","",C40-E40)</f>
        <v/>
      </c>
      <c r="G40" s="39" t="str">
        <f aca="false">IF(C40="","",REPT("■",ROUND(MIN(D40,1)*20,0))&amp;REPT("□",20-ROUND(MIN(D40,1)*20,0)))</f>
        <v/>
      </c>
    </row>
    <row r="41" customFormat="false" ht="19.5" hidden="false" customHeight="true" outlineLevel="0" collapsed="false">
      <c r="B41" s="30" t="n">
        <f aca="false">EDATE(B40,3)</f>
        <v>48945</v>
      </c>
      <c r="C41" s="31"/>
      <c r="D41" s="38" t="str">
        <f aca="false">IF(C41="","",IFERROR(C41/$D$5,0))</f>
        <v/>
      </c>
      <c r="E41" s="32" t="n">
        <f aca="false">IFERROR($D$6*(1+$D$8)^((ROW()-ROW($B$12))/4)+$D$7*((1+$D$8)^((ROW()-ROW($B$12))/4)-1)/$D$8,$D$6+$D$7*((ROW()-ROW($B$12))/4))</f>
        <v>1355418.15449724</v>
      </c>
      <c r="F41" s="33" t="str">
        <f aca="false">IF(C41="","",C41-E41)</f>
        <v/>
      </c>
      <c r="G41" s="39" t="str">
        <f aca="false">IF(C41="","",REPT("■",ROUND(MIN(D41,1)*20,0))&amp;REPT("□",20-ROUND(MIN(D41,1)*20,0)))</f>
        <v/>
      </c>
    </row>
    <row r="42" customFormat="false" ht="19.5" hidden="false" customHeight="true" outlineLevel="0" collapsed="false">
      <c r="B42" s="30" t="n">
        <f aca="false">EDATE(B41,3)</f>
        <v>49035</v>
      </c>
      <c r="C42" s="31"/>
      <c r="D42" s="38" t="str">
        <f aca="false">IF(C42="","",IFERROR(C42/$D$5,0))</f>
        <v/>
      </c>
      <c r="E42" s="32" t="n">
        <f aca="false">IFERROR($D$6*(1+$D$8)^((ROW()-ROW($B$12))/4)+$D$7*((1+$D$8)^((ROW()-ROW($B$12))/4)-1)/$D$8,$D$6+$D$7*((ROW()-ROW($B$12))/4))</f>
        <v>1412449.95317047</v>
      </c>
      <c r="F42" s="33" t="str">
        <f aca="false">IF(C42="","",C42-E42)</f>
        <v/>
      </c>
      <c r="G42" s="39" t="str">
        <f aca="false">IF(C42="","",REPT("■",ROUND(MIN(D42,1)*20,0))&amp;REPT("□",20-ROUND(MIN(D42,1)*20,0)))</f>
        <v/>
      </c>
    </row>
    <row r="43" customFormat="false" ht="19.5" hidden="false" customHeight="true" outlineLevel="0" collapsed="false">
      <c r="B43" s="30" t="n">
        <f aca="false">EDATE(B42,3)</f>
        <v>49126</v>
      </c>
      <c r="C43" s="31"/>
      <c r="D43" s="38" t="str">
        <f aca="false">IF(C43="","",IFERROR(C43/$D$5,0))</f>
        <v/>
      </c>
      <c r="E43" s="32" t="n">
        <f aca="false">IFERROR($D$6*(1+$D$8)^((ROW()-ROW($B$12))/4)+$D$7*((1+$D$8)^((ROW()-ROW($B$12))/4)-1)/$D$8,$D$6+$D$7*((ROW()-ROW($B$12))/4))</f>
        <v>1470589.68275589</v>
      </c>
      <c r="F43" s="33" t="str">
        <f aca="false">IF(C43="","",C43-E43)</f>
        <v/>
      </c>
      <c r="G43" s="39" t="str">
        <f aca="false">IF(C43="","",REPT("■",ROUND(MIN(D43,1)*20,0))&amp;REPT("□",20-ROUND(MIN(D43,1)*20,0)))</f>
        <v/>
      </c>
    </row>
    <row r="44" customFormat="false" ht="19.5" hidden="false" customHeight="true" outlineLevel="0" collapsed="false">
      <c r="B44" s="30" t="n">
        <f aca="false">EDATE(B43,3)</f>
        <v>49218</v>
      </c>
      <c r="C44" s="31"/>
      <c r="D44" s="38" t="str">
        <f aca="false">IF(C44="","",IFERROR(C44/$D$5,0))</f>
        <v/>
      </c>
      <c r="E44" s="32" t="n">
        <f aca="false">IFERROR($D$6*(1+$D$8)^((ROW()-ROW($B$12))/4)+$D$7*((1+$D$8)^((ROW()-ROW($B$12))/4)-1)/$D$8,$D$6+$D$7*((ROW()-ROW($B$12))/4))</f>
        <v>1529858.86652533</v>
      </c>
      <c r="F44" s="33" t="str">
        <f aca="false">IF(C44="","",C44-E44)</f>
        <v/>
      </c>
      <c r="G44" s="39" t="str">
        <f aca="false">IF(C44="","",REPT("■",ROUND(MIN(D44,1)*20,0))&amp;REPT("□",20-ROUND(MIN(D44,1)*20,0)))</f>
        <v/>
      </c>
    </row>
    <row r="45" customFormat="false" ht="19.5" hidden="false" customHeight="true" outlineLevel="0" collapsed="false">
      <c r="B45" s="30" t="n">
        <f aca="false">EDATE(B44,3)</f>
        <v>49310</v>
      </c>
      <c r="C45" s="31"/>
      <c r="D45" s="38" t="str">
        <f aca="false">IF(C45="","",IFERROR(C45/$D$5,0))</f>
        <v/>
      </c>
      <c r="E45" s="32" t="n">
        <f aca="false">IFERROR($D$6*(1+$D$8)^((ROW()-ROW($B$12))/4)+$D$7*((1+$D$8)^((ROW()-ROW($B$12))/4)-1)/$D$8,$D$6+$D$7*((ROW()-ROW($B$12))/4))</f>
        <v>1590279.44587349</v>
      </c>
      <c r="F45" s="33" t="str">
        <f aca="false">IF(C45="","",C45-E45)</f>
        <v/>
      </c>
      <c r="G45" s="39" t="str">
        <f aca="false">IF(C45="","",REPT("■",ROUND(MIN(D45,1)*20,0))&amp;REPT("□",20-ROUND(MIN(D45,1)*20,0)))</f>
        <v/>
      </c>
    </row>
    <row r="46" customFormat="false" ht="19.5" hidden="false" customHeight="true" outlineLevel="0" collapsed="false">
      <c r="B46" s="30" t="n">
        <f aca="false">EDATE(B45,3)</f>
        <v>49400</v>
      </c>
      <c r="C46" s="31"/>
      <c r="D46" s="38" t="str">
        <f aca="false">IF(C46="","",IFERROR(C46/$D$5,0))</f>
        <v/>
      </c>
      <c r="E46" s="32" t="n">
        <f aca="false">IFERROR($D$6*(1+$D$8)^((ROW()-ROW($B$12))/4)+$D$7*((1+$D$8)^((ROW()-ROW($B$12))/4)-1)/$D$8,$D$6+$D$7*((ROW()-ROW($B$12))/4))</f>
        <v>1651873.78844058</v>
      </c>
      <c r="F46" s="33" t="str">
        <f aca="false">IF(C46="","",C46-E46)</f>
        <v/>
      </c>
      <c r="G46" s="39" t="str">
        <f aca="false">IF(C46="","",REPT("■",ROUND(MIN(D46,1)*20,0))&amp;REPT("□",20-ROUND(MIN(D46,1)*20,0)))</f>
        <v/>
      </c>
    </row>
    <row r="47" customFormat="false" ht="19.5" hidden="false" customHeight="true" outlineLevel="0" collapsed="false">
      <c r="B47" s="30" t="n">
        <f aca="false">EDATE(B46,3)</f>
        <v>49491</v>
      </c>
      <c r="C47" s="31"/>
      <c r="D47" s="38" t="str">
        <f aca="false">IF(C47="","",IFERROR(C47/$D$5,0))</f>
        <v/>
      </c>
      <c r="E47" s="32" t="n">
        <f aca="false">IFERROR($D$6*(1+$D$8)^((ROW()-ROW($B$12))/4)+$D$7*((1+$D$8)^((ROW()-ROW($B$12))/4)-1)/$D$8,$D$6+$D$7*((ROW()-ROW($B$12))/4))</f>
        <v>1714664.69639283</v>
      </c>
      <c r="F47" s="33" t="str">
        <f aca="false">IF(C47="","",C47-E47)</f>
        <v/>
      </c>
      <c r="G47" s="39" t="str">
        <f aca="false">IF(C47="","",REPT("■",ROUND(MIN(D47,1)*20,0))&amp;REPT("□",20-ROUND(MIN(D47,1)*20,0)))</f>
        <v/>
      </c>
    </row>
    <row r="48" customFormat="false" ht="19.5" hidden="false" customHeight="true" outlineLevel="0" collapsed="false">
      <c r="B48" s="30" t="n">
        <f aca="false">EDATE(B47,3)</f>
        <v>49583</v>
      </c>
      <c r="C48" s="31"/>
      <c r="D48" s="38" t="str">
        <f aca="false">IF(C48="","",IFERROR(C48/$D$5,0))</f>
        <v/>
      </c>
      <c r="E48" s="32" t="n">
        <f aca="false">IFERROR($D$6*(1+$D$8)^((ROW()-ROW($B$12))/4)+$D$7*((1+$D$8)^((ROW()-ROW($B$12))/4)-1)/$D$8,$D$6+$D$7*((ROW()-ROW($B$12))/4))</f>
        <v>1778675.41486383</v>
      </c>
      <c r="F48" s="33" t="str">
        <f aca="false">IF(C48="","",C48-E48)</f>
        <v/>
      </c>
      <c r="G48" s="39" t="str">
        <f aca="false">IF(C48="","",REPT("■",ROUND(MIN(D48,1)*20,0))&amp;REPT("□",20-ROUND(MIN(D48,1)*20,0)))</f>
        <v/>
      </c>
    </row>
    <row r="49" customFormat="false" ht="19.5" hidden="false" customHeight="true" outlineLevel="0" collapsed="false">
      <c r="B49" s="30" t="n">
        <f aca="false">EDATE(B48,3)</f>
        <v>49675</v>
      </c>
      <c r="C49" s="31"/>
      <c r="D49" s="38" t="str">
        <f aca="false">IF(C49="","",IFERROR(C49/$D$5,0))</f>
        <v/>
      </c>
      <c r="E49" s="32" t="n">
        <f aca="false">IFERROR($D$6*(1+$D$8)^((ROW()-ROW($B$12))/4)+$D$7*((1+$D$8)^((ROW()-ROW($B$12))/4)-1)/$D$8,$D$6+$D$7*((ROW()-ROW($B$12))/4))</f>
        <v>1843929.64055984</v>
      </c>
      <c r="F49" s="33" t="str">
        <f aca="false">IF(C49="","",C49-E49)</f>
        <v/>
      </c>
      <c r="G49" s="39" t="str">
        <f aca="false">IF(C49="","",REPT("■",ROUND(MIN(D49,1)*20,0))&amp;REPT("□",20-ROUND(MIN(D49,1)*20,0)))</f>
        <v/>
      </c>
    </row>
    <row r="50" customFormat="false" ht="19.5" hidden="false" customHeight="true" outlineLevel="0" collapsed="false">
      <c r="B50" s="30" t="n">
        <f aca="false">EDATE(B49,3)</f>
        <v>49766</v>
      </c>
      <c r="C50" s="31"/>
      <c r="D50" s="38" t="str">
        <f aca="false">IF(C50="","",IFERROR(C50/$D$5,0))</f>
        <v/>
      </c>
      <c r="E50" s="32" t="n">
        <f aca="false">IFERROR($D$6*(1+$D$8)^((ROW()-ROW($B$12))/4)+$D$7*((1+$D$8)^((ROW()-ROW($B$12))/4)-1)/$D$8,$D$6+$D$7*((ROW()-ROW($B$12))/4))</f>
        <v>1910451.5305323</v>
      </c>
      <c r="F50" s="33" t="str">
        <f aca="false">IF(C50="","",C50-E50)</f>
        <v/>
      </c>
      <c r="G50" s="39" t="str">
        <f aca="false">IF(C50="","",REPT("■",ROUND(MIN(D50,1)*20,0))&amp;REPT("□",20-ROUND(MIN(D50,1)*20,0)))</f>
        <v/>
      </c>
    </row>
    <row r="51" customFormat="false" ht="19.5" hidden="false" customHeight="true" outlineLevel="0" collapsed="false">
      <c r="B51" s="30" t="n">
        <f aca="false">EDATE(B50,3)</f>
        <v>49857</v>
      </c>
      <c r="C51" s="31"/>
      <c r="D51" s="38" t="str">
        <f aca="false">IF(C51="","",IFERROR(C51/$D$5,0))</f>
        <v/>
      </c>
      <c r="E51" s="32" t="n">
        <f aca="false">IFERROR($D$6*(1+$D$8)^((ROW()-ROW($B$12))/4)+$D$7*((1+$D$8)^((ROW()-ROW($B$12))/4)-1)/$D$8,$D$6+$D$7*((ROW()-ROW($B$12))/4))</f>
        <v>1978265.71112073</v>
      </c>
      <c r="F51" s="33" t="str">
        <f aca="false">IF(C51="","",C51-E51)</f>
        <v/>
      </c>
      <c r="G51" s="39" t="str">
        <f aca="false">IF(C51="","",REPT("■",ROUND(MIN(D51,1)*20,0))&amp;REPT("□",20-ROUND(MIN(D51,1)*20,0)))</f>
        <v/>
      </c>
    </row>
    <row r="52" customFormat="false" ht="19.5" hidden="false" customHeight="true" outlineLevel="0" collapsed="false">
      <c r="B52" s="30" t="n">
        <f aca="false">EDATE(B51,3)</f>
        <v>49949</v>
      </c>
      <c r="C52" s="31"/>
      <c r="D52" s="38" t="str">
        <f aca="false">IF(C52="","",IFERROR(C52/$D$5,0))</f>
        <v/>
      </c>
      <c r="E52" s="32" t="n">
        <f aca="false">IFERROR($D$6*(1+$D$8)^((ROW()-ROW($B$12))/4)+$D$7*((1+$D$8)^((ROW()-ROW($B$12))/4)-1)/$D$8,$D$6+$D$7*((ROW()-ROW($B$12))/4))</f>
        <v>2047397.28706941</v>
      </c>
      <c r="F52" s="33" t="str">
        <f aca="false">IF(C52="","",C52-E52)</f>
        <v/>
      </c>
      <c r="G52" s="39" t="str">
        <f aca="false">IF(C52="","",REPT("■",ROUND(MIN(D52,1)*20,0))&amp;REPT("□",20-ROUND(MIN(D52,1)*20,0)))</f>
        <v/>
      </c>
    </row>
    <row r="53" customFormat="false" ht="19.5" hidden="false" customHeight="true" outlineLevel="0" collapsed="false">
      <c r="B53" s="30" t="n">
        <f aca="false">EDATE(B52,3)</f>
        <v>50041</v>
      </c>
      <c r="C53" s="31"/>
      <c r="D53" s="38" t="str">
        <f aca="false">IF(C53="","",IFERROR(C53/$D$5,0))</f>
        <v/>
      </c>
      <c r="E53" s="32" t="n">
        <f aca="false">IFERROR($D$6*(1+$D$8)^((ROW()-ROW($B$12))/4)+$D$7*((1+$D$8)^((ROW()-ROW($B$12))/4)-1)/$D$8,$D$6+$D$7*((ROW()-ROW($B$12))/4))</f>
        <v>2117871.8508211</v>
      </c>
      <c r="F53" s="33" t="str">
        <f aca="false">IF(C53="","",C53-E53)</f>
        <v/>
      </c>
      <c r="G53" s="39" t="str">
        <f aca="false">IF(C53="","",REPT("■",ROUND(MIN(D53,1)*20,0))&amp;REPT("□",20-ROUND(MIN(D53,1)*20,0)))</f>
        <v/>
      </c>
    </row>
    <row r="54" customFormat="false" ht="19.5" hidden="false" customHeight="true" outlineLevel="0" collapsed="false">
      <c r="B54" s="30" t="n">
        <f aca="false">EDATE(B53,3)</f>
        <v>50131</v>
      </c>
      <c r="C54" s="31"/>
      <c r="D54" s="38" t="str">
        <f aca="false">IF(C54="","",IFERROR(C54/$D$5,0))</f>
        <v/>
      </c>
      <c r="E54" s="32" t="n">
        <f aca="false">IFERROR($D$6*(1+$D$8)^((ROW()-ROW($B$12))/4)+$D$7*((1+$D$8)^((ROW()-ROW($B$12))/4)-1)/$D$8,$D$6+$D$7*((ROW()-ROW($B$12))/4))</f>
        <v>2189715.49199135</v>
      </c>
      <c r="F54" s="33" t="str">
        <f aca="false">IF(C54="","",C54-E54)</f>
        <v/>
      </c>
      <c r="G54" s="39" t="str">
        <f aca="false">IF(C54="","",REPT("■",ROUND(MIN(D54,1)*20,0))&amp;REPT("□",20-ROUND(MIN(D54,1)*20,0)))</f>
        <v/>
      </c>
    </row>
    <row r="55" customFormat="false" ht="19.5" hidden="false" customHeight="true" outlineLevel="0" collapsed="false">
      <c r="B55" s="30" t="n">
        <f aca="false">EDATE(B54,3)</f>
        <v>50222</v>
      </c>
      <c r="C55" s="31"/>
      <c r="D55" s="38" t="str">
        <f aca="false">IF(C55="","",IFERROR(C55/$D$5,0))</f>
        <v/>
      </c>
      <c r="E55" s="32" t="n">
        <f aca="false">IFERROR($D$6*(1+$D$8)^((ROW()-ROW($B$12))/4)+$D$7*((1+$D$8)^((ROW()-ROW($B$12))/4)-1)/$D$8,$D$6+$D$7*((ROW()-ROW($B$12))/4))</f>
        <v>2262954.80702686</v>
      </c>
      <c r="F55" s="33" t="str">
        <f aca="false">IF(C55="","",C55-E55)</f>
        <v/>
      </c>
      <c r="G55" s="39" t="str">
        <f aca="false">IF(C55="","",REPT("■",ROUND(MIN(D55,1)*20,0))&amp;REPT("□",20-ROUND(MIN(D55,1)*20,0)))</f>
        <v/>
      </c>
    </row>
    <row r="56" customFormat="false" ht="19.5" hidden="false" customHeight="true" outlineLevel="0" collapsed="false">
      <c r="B56" s="30" t="n">
        <f aca="false">EDATE(B55,3)</f>
        <v>50314</v>
      </c>
      <c r="C56" s="31"/>
      <c r="D56" s="38" t="str">
        <f aca="false">IF(C56="","",IFERROR(C56/$D$5,0))</f>
        <v/>
      </c>
      <c r="E56" s="32" t="n">
        <f aca="false">IFERROR($D$6*(1+$D$8)^((ROW()-ROW($B$12))/4)+$D$7*((1+$D$8)^((ROW()-ROW($B$12))/4)-1)/$D$8,$D$6+$D$7*((ROW()-ROW($B$12))/4))</f>
        <v>2337616.90905144</v>
      </c>
      <c r="F56" s="33" t="str">
        <f aca="false">IF(C56="","",C56-E56)</f>
        <v/>
      </c>
      <c r="G56" s="39" t="str">
        <f aca="false">IF(C56="","",REPT("■",ROUND(MIN(D56,1)*20,0))&amp;REPT("□",20-ROUND(MIN(D56,1)*20,0)))</f>
        <v/>
      </c>
    </row>
    <row r="57" customFormat="false" ht="19.5" hidden="false" customHeight="true" outlineLevel="0" collapsed="false">
      <c r="B57" s="30" t="n">
        <f aca="false">EDATE(B56,3)</f>
        <v>50406</v>
      </c>
      <c r="C57" s="31"/>
      <c r="D57" s="38" t="str">
        <f aca="false">IF(C57="","",IFERROR(C57/$D$5,0))</f>
        <v/>
      </c>
      <c r="E57" s="32" t="n">
        <f aca="false">IFERROR($D$6*(1+$D$8)^((ROW()-ROW($B$12))/4)+$D$7*((1+$D$8)^((ROW()-ROW($B$12))/4)-1)/$D$8,$D$6+$D$7*((ROW()-ROW($B$12))/4))</f>
        <v>2413729.43790326</v>
      </c>
      <c r="F57" s="33" t="str">
        <f aca="false">IF(C57="","",C57-E57)</f>
        <v/>
      </c>
      <c r="G57" s="39" t="str">
        <f aca="false">IF(C57="","",REPT("■",ROUND(MIN(D57,1)*20,0))&amp;REPT("□",20-ROUND(MIN(D57,1)*20,0)))</f>
        <v/>
      </c>
    </row>
    <row r="58" customFormat="false" ht="19.5" hidden="false" customHeight="true" outlineLevel="0" collapsed="false">
      <c r="B58" s="30" t="n">
        <f aca="false">EDATE(B57,3)</f>
        <v>50496</v>
      </c>
      <c r="C58" s="31"/>
      <c r="D58" s="38" t="str">
        <f aca="false">IF(C58="","",IFERROR(C58/$D$5,0))</f>
        <v/>
      </c>
      <c r="E58" s="32" t="n">
        <f aca="false">IFERROR($D$6*(1+$D$8)^((ROW()-ROW($B$12))/4)+$D$7*((1+$D$8)^((ROW()-ROW($B$12))/4)-1)/$D$8,$D$6+$D$7*((ROW()-ROW($B$12))/4))</f>
        <v>2491320.57036713</v>
      </c>
      <c r="F58" s="33" t="str">
        <f aca="false">IF(C58="","",C58-E58)</f>
        <v/>
      </c>
      <c r="G58" s="39" t="str">
        <f aca="false">IF(C58="","",REPT("■",ROUND(MIN(D58,1)*20,0))&amp;REPT("□",20-ROUND(MIN(D58,1)*20,0)))</f>
        <v/>
      </c>
    </row>
    <row r="59" customFormat="false" ht="19.5" hidden="false" customHeight="true" outlineLevel="0" collapsed="false">
      <c r="B59" s="30" t="n">
        <f aca="false">EDATE(B58,3)</f>
        <v>50587</v>
      </c>
      <c r="C59" s="31"/>
      <c r="D59" s="38" t="str">
        <f aca="false">IF(C59="","",IFERROR(C59/$D$5,0))</f>
        <v/>
      </c>
      <c r="E59" s="32" t="n">
        <f aca="false">IFERROR($D$6*(1+$D$8)^((ROW()-ROW($B$12))/4)+$D$7*((1+$D$8)^((ROW()-ROW($B$12))/4)-1)/$D$8,$D$6+$D$7*((ROW()-ROW($B$12))/4))</f>
        <v>2570419.03060548</v>
      </c>
      <c r="F59" s="33" t="str">
        <f aca="false">IF(C59="","",C59-E59)</f>
        <v/>
      </c>
      <c r="G59" s="39" t="str">
        <f aca="false">IF(C59="","",REPT("■",ROUND(MIN(D59,1)*20,0))&amp;REPT("□",20-ROUND(MIN(D59,1)*20,0)))</f>
        <v/>
      </c>
    </row>
    <row r="60" customFormat="false" ht="19.5" hidden="false" customHeight="true" outlineLevel="0" collapsed="false">
      <c r="B60" s="30" t="n">
        <f aca="false">EDATE(B59,3)</f>
        <v>50679</v>
      </c>
      <c r="C60" s="31"/>
      <c r="D60" s="38" t="str">
        <f aca="false">IF(C60="","",IFERROR(C60/$D$5,0))</f>
        <v/>
      </c>
      <c r="E60" s="32" t="n">
        <f aca="false">IFERROR($D$6*(1+$D$8)^((ROW()-ROW($B$12))/4)+$D$7*((1+$D$8)^((ROW()-ROW($B$12))/4)-1)/$D$8,$D$6+$D$7*((ROW()-ROW($B$12))/4))</f>
        <v>2651054.10079202</v>
      </c>
      <c r="F60" s="33" t="str">
        <f aca="false">IF(C60="","",C60-E60)</f>
        <v/>
      </c>
      <c r="G60" s="39" t="str">
        <f aca="false">IF(C60="","",REPT("■",ROUND(MIN(D60,1)*20,0))&amp;REPT("□",20-ROUND(MIN(D60,1)*20,0)))</f>
        <v/>
      </c>
    </row>
    <row r="61" customFormat="false" ht="19.5" hidden="false" customHeight="true" outlineLevel="0" collapsed="false">
      <c r="B61" s="30" t="n">
        <f aca="false">EDATE(B60,3)</f>
        <v>50771</v>
      </c>
      <c r="C61" s="31"/>
      <c r="D61" s="38" t="str">
        <f aca="false">IF(C61="","",IFERROR(C61/$D$5,0))</f>
        <v/>
      </c>
      <c r="E61" s="32" t="n">
        <f aca="false">IFERROR($D$6*(1+$D$8)^((ROW()-ROW($B$12))/4)+$D$7*((1+$D$8)^((ROW()-ROW($B$12))/4)-1)/$D$8,$D$6+$D$7*((ROW()-ROW($B$12))/4))</f>
        <v>2733255.631952</v>
      </c>
      <c r="F61" s="33" t="str">
        <f aca="false">IF(C61="","",C61-E61)</f>
        <v/>
      </c>
      <c r="G61" s="39" t="str">
        <f aca="false">IF(C61="","",REPT("■",ROUND(MIN(D61,1)*20,0))&amp;REPT("□",20-ROUND(MIN(D61,1)*20,0)))</f>
        <v/>
      </c>
    </row>
    <row r="62" customFormat="false" ht="19.5" hidden="false" customHeight="true" outlineLevel="0" collapsed="false">
      <c r="B62" s="30" t="n">
        <f aca="false">EDATE(B61,3)</f>
        <v>50861</v>
      </c>
      <c r="C62" s="31"/>
      <c r="D62" s="38" t="str">
        <f aca="false">IF(C62="","",IFERROR(C62/$D$5,0))</f>
        <v/>
      </c>
      <c r="E62" s="32" t="n">
        <f aca="false">IFERROR($D$6*(1+$D$8)^((ROW()-ROW($B$12))/4)+$D$7*((1+$D$8)^((ROW()-ROW($B$12))/4)-1)/$D$8,$D$6+$D$7*((ROW()-ROW($B$12))/4))</f>
        <v>2817054.05501298</v>
      </c>
      <c r="F62" s="33" t="str">
        <f aca="false">IF(C62="","",C62-E62)</f>
        <v/>
      </c>
      <c r="G62" s="39" t="str">
        <f aca="false">IF(C62="","",REPT("■",ROUND(MIN(D62,1)*20,0))&amp;REPT("□",20-ROUND(MIN(D62,1)*20,0)))</f>
        <v/>
      </c>
    </row>
    <row r="63" customFormat="false" ht="19.5" hidden="false" customHeight="true" outlineLevel="0" collapsed="false">
      <c r="B63" s="30" t="n">
        <f aca="false">EDATE(B62,3)</f>
        <v>50952</v>
      </c>
      <c r="C63" s="31"/>
      <c r="D63" s="38" t="str">
        <f aca="false">IF(C63="","",IFERROR(C63/$D$5,0))</f>
        <v/>
      </c>
      <c r="E63" s="32" t="n">
        <f aca="false">IFERROR($D$6*(1+$D$8)^((ROW()-ROW($B$12))/4)+$D$7*((1+$D$8)^((ROW()-ROW($B$12))/4)-1)/$D$8,$D$6+$D$7*((ROW()-ROW($B$12))/4))</f>
        <v>2902480.39207039</v>
      </c>
      <c r="F63" s="33" t="str">
        <f aca="false">IF(C63="","",C63-E63)</f>
        <v/>
      </c>
      <c r="G63" s="39" t="str">
        <f aca="false">IF(C63="","",REPT("■",ROUND(MIN(D63,1)*20,0))&amp;REPT("□",20-ROUND(MIN(D63,1)*20,0)))</f>
        <v/>
      </c>
    </row>
    <row r="64" customFormat="false" ht="19.5" hidden="false" customHeight="true" outlineLevel="0" collapsed="false">
      <c r="B64" s="30" t="n">
        <f aca="false">EDATE(B63,3)</f>
        <v>51044</v>
      </c>
      <c r="C64" s="31"/>
      <c r="D64" s="38" t="str">
        <f aca="false">IF(C64="","",IFERROR(C64/$D$5,0))</f>
        <v/>
      </c>
      <c r="E64" s="32" t="n">
        <f aca="false">IFERROR($D$6*(1+$D$8)^((ROW()-ROW($B$12))/4)+$D$7*((1+$D$8)^((ROW()-ROW($B$12))/4)-1)/$D$8,$D$6+$D$7*((ROW()-ROW($B$12))/4))</f>
        <v>2989566.26787186</v>
      </c>
      <c r="F64" s="33" t="str">
        <f aca="false">IF(C64="","",C64-E64)</f>
        <v/>
      </c>
      <c r="G64" s="39" t="str">
        <f aca="false">IF(C64="","",REPT("■",ROUND(MIN(D64,1)*20,0))&amp;REPT("□",20-ROUND(MIN(D64,1)*20,0)))</f>
        <v/>
      </c>
    </row>
    <row r="65" customFormat="false" ht="19.5" hidden="false" customHeight="true" outlineLevel="0" collapsed="false">
      <c r="B65" s="30" t="n">
        <f aca="false">EDATE(B64,3)</f>
        <v>51136</v>
      </c>
      <c r="C65" s="31"/>
      <c r="D65" s="38" t="str">
        <f aca="false">IF(C65="","",IFERROR(C65/$D$5,0))</f>
        <v/>
      </c>
      <c r="E65" s="32" t="n">
        <f aca="false">IFERROR($D$6*(1+$D$8)^((ROW()-ROW($B$12))/4)+$D$7*((1+$D$8)^((ROW()-ROW($B$12))/4)-1)/$D$8,$D$6+$D$7*((ROW()-ROW($B$12))/4))</f>
        <v>3078343.92152463</v>
      </c>
      <c r="F65" s="33" t="str">
        <f aca="false">IF(C65="","",C65-E65)</f>
        <v/>
      </c>
      <c r="G65" s="39" t="str">
        <f aca="false">IF(C65="","",REPT("■",ROUND(MIN(D65,1)*20,0))&amp;REPT("□",20-ROUND(MIN(D65,1)*20,0)))</f>
        <v/>
      </c>
    </row>
    <row r="66" customFormat="false" ht="19.5" hidden="false" customHeight="true" outlineLevel="0" collapsed="false">
      <c r="B66" s="30" t="n">
        <f aca="false">EDATE(B65,3)</f>
        <v>51227</v>
      </c>
      <c r="C66" s="31"/>
      <c r="D66" s="38" t="str">
        <f aca="false">IF(C66="","",IFERROR(C66/$D$5,0))</f>
        <v/>
      </c>
      <c r="E66" s="32" t="n">
        <f aca="false">IFERROR($D$6*(1+$D$8)^((ROW()-ROW($B$12))/4)+$D$7*((1+$D$8)^((ROW()-ROW($B$12))/4)-1)/$D$8,$D$6+$D$7*((ROW()-ROW($B$12))/4))</f>
        <v>3168846.21843049</v>
      </c>
      <c r="F66" s="33" t="str">
        <f aca="false">IF(C66="","",C66-E66)</f>
        <v/>
      </c>
      <c r="G66" s="39" t="str">
        <f aca="false">IF(C66="","",REPT("■",ROUND(MIN(D66,1)*20,0))&amp;REPT("□",20-ROUND(MIN(D66,1)*20,0)))</f>
        <v/>
      </c>
    </row>
    <row r="67" customFormat="false" ht="19.5" hidden="false" customHeight="true" outlineLevel="0" collapsed="false">
      <c r="B67" s="30" t="n">
        <f aca="false">EDATE(B66,3)</f>
        <v>51318</v>
      </c>
      <c r="C67" s="31"/>
      <c r="D67" s="38" t="str">
        <f aca="false">IF(C67="","",IFERROR(C67/$D$5,0))</f>
        <v/>
      </c>
      <c r="E67" s="32" t="n">
        <f aca="false">IFERROR($D$6*(1+$D$8)^((ROW()-ROW($B$12))/4)+$D$7*((1+$D$8)^((ROW()-ROW($B$12))/4)-1)/$D$8,$D$6+$D$7*((ROW()-ROW($B$12))/4))</f>
        <v>3261106.6624525</v>
      </c>
      <c r="F67" s="33" t="str">
        <f aca="false">IF(C67="","",C67-E67)</f>
        <v/>
      </c>
      <c r="G67" s="39" t="str">
        <f aca="false">IF(C67="","",REPT("■",ROUND(MIN(D67,1)*20,0))&amp;REPT("□",20-ROUND(MIN(D67,1)*20,0)))</f>
        <v/>
      </c>
    </row>
    <row r="68" customFormat="false" ht="19.5" hidden="false" customHeight="true" outlineLevel="0" collapsed="false">
      <c r="B68" s="30" t="n">
        <f aca="false">EDATE(B67,3)</f>
        <v>51410</v>
      </c>
      <c r="C68" s="31"/>
      <c r="D68" s="38" t="str">
        <f aca="false">IF(C68="","",IFERROR(C68/$D$5,0))</f>
        <v/>
      </c>
      <c r="E68" s="32" t="n">
        <f aca="false">IFERROR($D$6*(1+$D$8)^((ROW()-ROW($B$12))/4)+$D$7*((1+$D$8)^((ROW()-ROW($B$12))/4)-1)/$D$8,$D$6+$D$7*((ROW()-ROW($B$12))/4))</f>
        <v>3355159.40831808</v>
      </c>
      <c r="F68" s="33" t="str">
        <f aca="false">IF(C68="","",C68-E68)</f>
        <v/>
      </c>
      <c r="G68" s="39" t="str">
        <f aca="false">IF(C68="","",REPT("■",ROUND(MIN(D68,1)*20,0))&amp;REPT("□",20-ROUND(MIN(D68,1)*20,0)))</f>
        <v/>
      </c>
    </row>
    <row r="69" customFormat="false" ht="19.5" hidden="false" customHeight="true" outlineLevel="0" collapsed="false">
      <c r="B69" s="30" t="n">
        <f aca="false">EDATE(B68,3)</f>
        <v>51502</v>
      </c>
      <c r="C69" s="31"/>
      <c r="D69" s="38" t="str">
        <f aca="false">IF(C69="","",IFERROR(C69/$D$5,0))</f>
        <v/>
      </c>
      <c r="E69" s="32" t="n">
        <f aca="false">IFERROR($D$6*(1+$D$8)^((ROW()-ROW($B$12))/4)+$D$7*((1+$D$8)^((ROW()-ROW($B$12))/4)-1)/$D$8,$D$6+$D$7*((ROW()-ROW($B$12))/4))</f>
        <v>3451039.27426307</v>
      </c>
      <c r="F69" s="33" t="str">
        <f aca="false">IF(C69="","",C69-E69)</f>
        <v/>
      </c>
      <c r="G69" s="39" t="str">
        <f aca="false">IF(C69="","",REPT("■",ROUND(MIN(D69,1)*20,0))&amp;REPT("□",20-ROUND(MIN(D69,1)*20,0)))</f>
        <v/>
      </c>
    </row>
    <row r="70" customFormat="false" ht="19.5" hidden="false" customHeight="true" outlineLevel="0" collapsed="false">
      <c r="B70" s="30" t="n">
        <f aca="false">EDATE(B69,3)</f>
        <v>51592</v>
      </c>
      <c r="C70" s="31"/>
      <c r="D70" s="38" t="str">
        <f aca="false">IF(C70="","",IFERROR(C70/$D$5,0))</f>
        <v/>
      </c>
      <c r="E70" s="32" t="n">
        <f aca="false">IFERROR($D$6*(1+$D$8)^((ROW()-ROW($B$12))/4)+$D$7*((1+$D$8)^((ROW()-ROW($B$12))/4)-1)/$D$8,$D$6+$D$7*((ROW()-ROW($B$12))/4))</f>
        <v>3548781.7549214</v>
      </c>
      <c r="F70" s="33" t="str">
        <f aca="false">IF(C70="","",C70-E70)</f>
        <v/>
      </c>
      <c r="G70" s="39" t="str">
        <f aca="false">IF(C70="","",REPT("■",ROUND(MIN(D70,1)*20,0))&amp;REPT("□",20-ROUND(MIN(D70,1)*20,0)))</f>
        <v/>
      </c>
    </row>
    <row r="71" customFormat="false" ht="19.5" hidden="false" customHeight="true" outlineLevel="0" collapsed="false">
      <c r="B71" s="30" t="n">
        <f aca="false">EDATE(B70,3)</f>
        <v>51683</v>
      </c>
      <c r="C71" s="31"/>
      <c r="D71" s="38" t="str">
        <f aca="false">IF(C71="","",IFERROR(C71/$D$5,0))</f>
        <v/>
      </c>
      <c r="E71" s="32" t="n">
        <f aca="false">IFERROR($D$6*(1+$D$8)^((ROW()-ROW($B$12))/4)+$D$7*((1+$D$8)^((ROW()-ROW($B$12))/4)-1)/$D$8,$D$6+$D$7*((ROW()-ROW($B$12))/4))</f>
        <v>3648423.03446517</v>
      </c>
      <c r="F71" s="33" t="str">
        <f aca="false">IF(C71="","",C71-E71)</f>
        <v/>
      </c>
      <c r="G71" s="39" t="str">
        <f aca="false">IF(C71="","",REPT("■",ROUND(MIN(D71,1)*20,0))&amp;REPT("□",20-ROUND(MIN(D71,1)*20,0)))</f>
        <v/>
      </c>
    </row>
    <row r="72" customFormat="false" ht="19.5" hidden="false" customHeight="true" outlineLevel="0" collapsed="false">
      <c r="B72" s="30" t="n">
        <f aca="false">EDATE(B71,3)</f>
        <v>51775</v>
      </c>
      <c r="C72" s="31"/>
      <c r="D72" s="38" t="str">
        <f aca="false">IF(C72="","",IFERROR(C72/$D$5,0))</f>
        <v/>
      </c>
      <c r="E72" s="32" t="n">
        <f aca="false">IFERROR($D$6*(1+$D$8)^((ROW()-ROW($B$12))/4)+$D$7*((1+$D$8)^((ROW()-ROW($B$12))/4)-1)/$D$8,$D$6+$D$7*((ROW()-ROW($B$12))/4))</f>
        <v>3750000</v>
      </c>
      <c r="F72" s="33" t="str">
        <f aca="false">IF(C72="","",C72-E72)</f>
        <v/>
      </c>
      <c r="G72" s="39" t="str">
        <f aca="false">IF(C72="","",REPT("■",ROUND(MIN(D72,1)*20,0))&amp;REPT("□",20-ROUND(MIN(D72,1)*20,0)))</f>
        <v/>
      </c>
    </row>
    <row r="74" customFormat="false" ht="27.75" hidden="false" customHeight="true" outlineLevel="0" collapsed="false">
      <c r="B74" s="40" t="s">
        <v>80</v>
      </c>
      <c r="C74" s="40"/>
      <c r="D74" s="40"/>
      <c r="E74" s="40"/>
      <c r="F74" s="40"/>
      <c r="G74" s="40"/>
    </row>
  </sheetData>
  <mergeCells count="7">
    <mergeCell ref="B3:G3"/>
    <mergeCell ref="B5:C5"/>
    <mergeCell ref="B6:C6"/>
    <mergeCell ref="B7:C7"/>
    <mergeCell ref="B8:C8"/>
    <mergeCell ref="B9:C9"/>
    <mergeCell ref="B74:G7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2026-09-28T03:01:43Z</dcterms:created>
  <dc:creator>openpyxl</dc:creator>
  <dc:description/>
  <dc:language>en-US</dc:language>
  <cp:lastModifiedBy/>
  <dcterms:modified xsi:type="dcterms:W3CDTF">2026-09-28T03:01:44Z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